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SURFACE\Desktop\"/>
    </mc:Choice>
  </mc:AlternateContent>
  <bookViews>
    <workbookView xWindow="0" yWindow="0" windowWidth="16900" windowHeight="8870"/>
  </bookViews>
  <sheets>
    <sheet name="MTQ-AA00737-FSS" sheetId="2" r:id="rId1"/>
    <sheet name="Sheet1" sheetId="6" r:id="rId2"/>
  </sheets>
  <definedNames>
    <definedName name="_xlnm._FilterDatabase" localSheetId="0" hidden="1">'MTQ-AA00737-FSS'!$A$9:$J$57</definedName>
    <definedName name="_xlnm.Print_Area" localSheetId="0">'MTQ-AA00737-FSS'!$A$2:$I$78</definedName>
    <definedName name="_xlnm.Print_Titles" localSheetId="0">'MTQ-AA00737-FSS'!$9:$9</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4" i="2" l="1"/>
  <c r="M23" i="2"/>
  <c r="M21" i="2"/>
  <c r="N21" i="2"/>
  <c r="O21" i="2"/>
  <c r="R21" i="2"/>
  <c r="S21" i="2"/>
  <c r="T21" i="2"/>
  <c r="U21" i="2" s="1"/>
  <c r="V21" i="2"/>
  <c r="W21" i="2"/>
  <c r="X21" i="2"/>
  <c r="AN21" i="2" s="1"/>
  <c r="AO21" i="2" s="1"/>
  <c r="Y21" i="2"/>
  <c r="Z21" i="2"/>
  <c r="AA21" i="2" s="1"/>
  <c r="AB21" i="2"/>
  <c r="AC21" i="2" s="1"/>
  <c r="AD21" i="2"/>
  <c r="AE21" i="2" s="1"/>
  <c r="AF21" i="2"/>
  <c r="AG21" i="2" s="1"/>
  <c r="AH21" i="2"/>
  <c r="AI21" i="2" s="1"/>
  <c r="M20" i="2"/>
  <c r="N20" i="2" s="1"/>
  <c r="T20" i="2" s="1"/>
  <c r="U20" i="2" s="1"/>
  <c r="Z20" i="2"/>
  <c r="AA20" i="2" s="1"/>
  <c r="AB20" i="2"/>
  <c r="AC20" i="2" s="1"/>
  <c r="M14" i="2"/>
  <c r="K24" i="2"/>
  <c r="K23" i="2"/>
  <c r="K22" i="2"/>
  <c r="K21" i="2"/>
  <c r="K20" i="2"/>
  <c r="F16" i="2"/>
  <c r="AH20" i="2" l="1"/>
  <c r="AI20" i="2" s="1"/>
  <c r="AD20" i="2"/>
  <c r="AE20" i="2" s="1"/>
  <c r="R20" i="2"/>
  <c r="S20" i="2" s="1"/>
  <c r="X20" i="2"/>
  <c r="Y20" i="2" s="1"/>
  <c r="O20" i="2"/>
  <c r="V20" i="2"/>
  <c r="AF20" i="2"/>
  <c r="AG20" i="2" s="1"/>
  <c r="AN20" i="2" l="1"/>
  <c r="AO20" i="2" s="1"/>
  <c r="W20" i="2"/>
  <c r="A44" i="2"/>
  <c r="T9" i="2"/>
  <c r="M28" i="2"/>
  <c r="M26" i="2"/>
  <c r="N26" i="2" s="1"/>
  <c r="AB28" i="2"/>
  <c r="AC28" i="2" s="1"/>
  <c r="Z28" i="2"/>
  <c r="AA28" i="2" s="1"/>
  <c r="AB26" i="2"/>
  <c r="AC26" i="2" s="1"/>
  <c r="Z26" i="2"/>
  <c r="AA26" i="2" s="1"/>
  <c r="G19" i="2"/>
  <c r="G18" i="2"/>
  <c r="G17" i="2"/>
  <c r="L27" i="2"/>
  <c r="L25" i="2"/>
  <c r="G16" i="2"/>
  <c r="AB14" i="2"/>
  <c r="AC14" i="2" s="1"/>
  <c r="Z14" i="2"/>
  <c r="AA14" i="2" s="1"/>
  <c r="K14" i="2"/>
  <c r="G14" i="2"/>
  <c r="H14" i="2" s="1"/>
  <c r="G13" i="2"/>
  <c r="N28" i="2" l="1"/>
  <c r="R26" i="2"/>
  <c r="S26" i="2" s="1"/>
  <c r="AF26" i="2"/>
  <c r="AG26" i="2" s="1"/>
  <c r="O26" i="2"/>
  <c r="AH26" i="2"/>
  <c r="AI26" i="2" s="1"/>
  <c r="X26" i="2"/>
  <c r="Y26" i="2" s="1"/>
  <c r="V26" i="2"/>
  <c r="AD26" i="2"/>
  <c r="AE26" i="2" s="1"/>
  <c r="T26" i="2"/>
  <c r="U26" i="2" s="1"/>
  <c r="N14" i="2"/>
  <c r="T14" i="2" s="1"/>
  <c r="U14" i="2" s="1"/>
  <c r="O28" i="2" l="1"/>
  <c r="V28" i="2"/>
  <c r="AD28" i="2"/>
  <c r="AE28" i="2" s="1"/>
  <c r="R28" i="2"/>
  <c r="S28" i="2" s="1"/>
  <c r="X28" i="2"/>
  <c r="Y28" i="2" s="1"/>
  <c r="AH28" i="2"/>
  <c r="AI28" i="2" s="1"/>
  <c r="AF28" i="2"/>
  <c r="AG28" i="2" s="1"/>
  <c r="T28" i="2"/>
  <c r="U28" i="2" s="1"/>
  <c r="AN26" i="2"/>
  <c r="AO26" i="2" s="1"/>
  <c r="W26" i="2"/>
  <c r="O14" i="2"/>
  <c r="AD14" i="2"/>
  <c r="AE14" i="2" s="1"/>
  <c r="R14" i="2"/>
  <c r="S14" i="2" s="1"/>
  <c r="AF14" i="2"/>
  <c r="AG14" i="2" s="1"/>
  <c r="V14" i="2"/>
  <c r="AH14" i="2"/>
  <c r="AI14" i="2" s="1"/>
  <c r="X14" i="2"/>
  <c r="Y14" i="2" s="1"/>
  <c r="W28" i="2" l="1"/>
  <c r="AN28" i="2"/>
  <c r="AO28" i="2" s="1"/>
  <c r="W14" i="2"/>
  <c r="AN14" i="2"/>
  <c r="AO14" i="2" s="1"/>
  <c r="L12" i="2" l="1"/>
  <c r="M34" i="2" l="1"/>
  <c r="L29" i="2" l="1"/>
  <c r="K19" i="2"/>
  <c r="K18" i="2"/>
  <c r="K17" i="2"/>
  <c r="K16" i="2"/>
  <c r="K15" i="2"/>
  <c r="P10" i="2" l="1"/>
  <c r="P9" i="2" l="1"/>
  <c r="F14" i="2" l="1"/>
  <c r="I14" i="2" s="1"/>
  <c r="A45" i="2"/>
  <c r="A43" i="2"/>
  <c r="G15" i="2" l="1"/>
  <c r="AB30" i="2" l="1"/>
  <c r="AC30" i="2" s="1"/>
  <c r="Z30" i="2"/>
  <c r="AA30" i="2" s="1"/>
  <c r="M30" i="2"/>
  <c r="AB29" i="2"/>
  <c r="AC29" i="2" s="1"/>
  <c r="Z29" i="2"/>
  <c r="AA29" i="2" s="1"/>
  <c r="M29" i="2"/>
  <c r="P29" i="2" s="1"/>
  <c r="N29" i="2" l="1"/>
  <c r="Q29" i="2" s="1"/>
  <c r="N30" i="2"/>
  <c r="T30" i="2" s="1"/>
  <c r="U30" i="2" s="1"/>
  <c r="M12" i="2"/>
  <c r="AB27" i="2"/>
  <c r="AC27" i="2" s="1"/>
  <c r="Z27" i="2"/>
  <c r="AA27" i="2" s="1"/>
  <c r="M27" i="2"/>
  <c r="N27" i="2" s="1"/>
  <c r="AB25" i="2"/>
  <c r="AC25" i="2" s="1"/>
  <c r="Z25" i="2"/>
  <c r="AA25" i="2" s="1"/>
  <c r="AB15" i="2"/>
  <c r="AC15" i="2" s="1"/>
  <c r="AB16" i="2"/>
  <c r="AC16" i="2" s="1"/>
  <c r="AB17" i="2"/>
  <c r="AC17" i="2" s="1"/>
  <c r="AB18" i="2"/>
  <c r="AC18" i="2" s="1"/>
  <c r="AB19" i="2"/>
  <c r="AC19" i="2" s="1"/>
  <c r="Z15" i="2"/>
  <c r="AA15" i="2" s="1"/>
  <c r="Z16" i="2"/>
  <c r="AA16" i="2" s="1"/>
  <c r="Z17" i="2"/>
  <c r="AA17" i="2" s="1"/>
  <c r="Z18" i="2"/>
  <c r="AA18" i="2" s="1"/>
  <c r="Z19" i="2"/>
  <c r="AA19" i="2" s="1"/>
  <c r="M16" i="2"/>
  <c r="M17" i="2"/>
  <c r="M18" i="2"/>
  <c r="M19" i="2"/>
  <c r="AB12" i="2"/>
  <c r="AC12" i="2" s="1"/>
  <c r="Z12" i="2"/>
  <c r="AA12" i="2" s="1"/>
  <c r="AD29" i="2" l="1"/>
  <c r="AE29" i="2" s="1"/>
  <c r="AF29" i="2"/>
  <c r="AG29" i="2" s="1"/>
  <c r="R29" i="2"/>
  <c r="S29" i="2" s="1"/>
  <c r="T29" i="2"/>
  <c r="U29" i="2" s="1"/>
  <c r="AH29" i="2"/>
  <c r="AI29" i="2" s="1"/>
  <c r="O29" i="2"/>
  <c r="V30" i="2"/>
  <c r="V29" i="2"/>
  <c r="AD30" i="2"/>
  <c r="AE30" i="2" s="1"/>
  <c r="O30" i="2"/>
  <c r="R30" i="2"/>
  <c r="S30" i="2" s="1"/>
  <c r="AF30" i="2"/>
  <c r="AG30" i="2" s="1"/>
  <c r="AH30" i="2"/>
  <c r="AI30" i="2" s="1"/>
  <c r="X30" i="2"/>
  <c r="Y30" i="2" s="1"/>
  <c r="X29" i="2"/>
  <c r="Y29" i="2" s="1"/>
  <c r="X27" i="2"/>
  <c r="Y27" i="2" s="1"/>
  <c r="AD27" i="2"/>
  <c r="AE27" i="2" s="1"/>
  <c r="N25" i="2"/>
  <c r="T25" i="2" s="1"/>
  <c r="N16" i="2"/>
  <c r="N19" i="2"/>
  <c r="N18" i="2"/>
  <c r="N17" i="2"/>
  <c r="N12" i="2"/>
  <c r="T12" i="2" s="1"/>
  <c r="P12" i="2" l="1"/>
  <c r="P25" i="2"/>
  <c r="AN29" i="2"/>
  <c r="AO29" i="2" s="1"/>
  <c r="AL29" i="2"/>
  <c r="AM29" i="2" s="1"/>
  <c r="W30" i="2"/>
  <c r="W29" i="2"/>
  <c r="AJ29" i="2"/>
  <c r="AK29" i="2" s="1"/>
  <c r="T19" i="2"/>
  <c r="U19" i="2" s="1"/>
  <c r="T18" i="2"/>
  <c r="U18" i="2" s="1"/>
  <c r="T17" i="2"/>
  <c r="U17" i="2" s="1"/>
  <c r="T16" i="2"/>
  <c r="U16" i="2" s="1"/>
  <c r="T13" i="2"/>
  <c r="U13" i="2" s="1"/>
  <c r="P27" i="2"/>
  <c r="V27" i="2"/>
  <c r="W27" i="2" s="1"/>
  <c r="AN30" i="2"/>
  <c r="AO30" i="2" s="1"/>
  <c r="AH27" i="2"/>
  <c r="AI27" i="2" s="1"/>
  <c r="AF27" i="2"/>
  <c r="AG27" i="2" s="1"/>
  <c r="T27" i="2"/>
  <c r="U27" i="2" s="1"/>
  <c r="O27" i="2"/>
  <c r="R27" i="2"/>
  <c r="S27" i="2" s="1"/>
  <c r="U25" i="2"/>
  <c r="R25" i="2"/>
  <c r="S25" i="2" s="1"/>
  <c r="R16" i="2"/>
  <c r="S16" i="2" s="1"/>
  <c r="O13" i="2"/>
  <c r="V13" i="2"/>
  <c r="AD13" i="2"/>
  <c r="AE13" i="2" s="1"/>
  <c r="AF13" i="2"/>
  <c r="AG13" i="2" s="1"/>
  <c r="R13" i="2"/>
  <c r="S13" i="2" s="1"/>
  <c r="AB13" i="2"/>
  <c r="AC13" i="2" s="1"/>
  <c r="X13" i="2"/>
  <c r="Y13" i="2" s="1"/>
  <c r="Z13" i="2"/>
  <c r="AA13" i="2" s="1"/>
  <c r="AH13" i="2"/>
  <c r="AI13" i="2" s="1"/>
  <c r="X12" i="2"/>
  <c r="Y12" i="2" s="1"/>
  <c r="AH12" i="2"/>
  <c r="AI12" i="2" s="1"/>
  <c r="AF12" i="2"/>
  <c r="AG12" i="2" s="1"/>
  <c r="V12" i="2"/>
  <c r="AF18" i="2"/>
  <c r="AG18" i="2" s="1"/>
  <c r="V18" i="2"/>
  <c r="X18" i="2"/>
  <c r="Y18" i="2" s="1"/>
  <c r="AH18" i="2"/>
  <c r="AI18" i="2" s="1"/>
  <c r="O25" i="2"/>
  <c r="X25" i="2"/>
  <c r="Y25" i="2" s="1"/>
  <c r="AH25" i="2"/>
  <c r="AI25" i="2" s="1"/>
  <c r="V25" i="2"/>
  <c r="AF25" i="2"/>
  <c r="AG25" i="2" s="1"/>
  <c r="AD25" i="2"/>
  <c r="AE25" i="2" s="1"/>
  <c r="AF17" i="2"/>
  <c r="AG17" i="2" s="1"/>
  <c r="V17" i="2"/>
  <c r="AH17" i="2"/>
  <c r="AI17" i="2" s="1"/>
  <c r="X17" i="2"/>
  <c r="Y17" i="2" s="1"/>
  <c r="AH19" i="2"/>
  <c r="AI19" i="2" s="1"/>
  <c r="AF19" i="2"/>
  <c r="AG19" i="2" s="1"/>
  <c r="X19" i="2"/>
  <c r="Y19" i="2" s="1"/>
  <c r="V19" i="2"/>
  <c r="AD16" i="2"/>
  <c r="AE16" i="2" s="1"/>
  <c r="V16" i="2"/>
  <c r="AF16" i="2"/>
  <c r="AG16" i="2" s="1"/>
  <c r="X16" i="2"/>
  <c r="Y16" i="2" s="1"/>
  <c r="AH16" i="2"/>
  <c r="AI16" i="2" s="1"/>
  <c r="O16" i="2"/>
  <c r="O19" i="2"/>
  <c r="R19" i="2"/>
  <c r="S19" i="2" s="1"/>
  <c r="AD19" i="2"/>
  <c r="AE19" i="2" s="1"/>
  <c r="R18" i="2"/>
  <c r="S18" i="2" s="1"/>
  <c r="O18" i="2"/>
  <c r="AD18" i="2"/>
  <c r="AE18" i="2" s="1"/>
  <c r="R17" i="2"/>
  <c r="S17" i="2" s="1"/>
  <c r="O17" i="2"/>
  <c r="AD17" i="2"/>
  <c r="AE17" i="2" s="1"/>
  <c r="O12" i="2"/>
  <c r="U12" i="2"/>
  <c r="R12" i="2"/>
  <c r="S12" i="2" s="1"/>
  <c r="AD12" i="2"/>
  <c r="AE12" i="2" s="1"/>
  <c r="AB31" i="2"/>
  <c r="AC31" i="2" s="1"/>
  <c r="Z31" i="2"/>
  <c r="AA31" i="2" s="1"/>
  <c r="M31" i="2"/>
  <c r="P31" i="2" s="1"/>
  <c r="G12" i="2" l="1"/>
  <c r="F19" i="2"/>
  <c r="F15" i="2"/>
  <c r="F18" i="2"/>
  <c r="Q12" i="2"/>
  <c r="F12" i="2"/>
  <c r="H12" i="2"/>
  <c r="F17" i="2"/>
  <c r="F13" i="2"/>
  <c r="Q25" i="2"/>
  <c r="H17" i="2"/>
  <c r="AP29" i="2"/>
  <c r="AQ29" i="2" s="1"/>
  <c r="H18" i="2"/>
  <c r="W16" i="2"/>
  <c r="H16" i="2"/>
  <c r="H13" i="2"/>
  <c r="AJ27" i="2"/>
  <c r="AK27" i="2" s="1"/>
  <c r="AL27" i="2"/>
  <c r="AM27" i="2" s="1"/>
  <c r="AN27" i="2"/>
  <c r="AO27" i="2" s="1"/>
  <c r="Q27" i="2"/>
  <c r="N31" i="2"/>
  <c r="T31" i="2" s="1"/>
  <c r="U31" i="2" s="1"/>
  <c r="AL25" i="2"/>
  <c r="AM25" i="2" s="1"/>
  <c r="W13" i="2"/>
  <c r="AN13" i="2"/>
  <c r="AO13" i="2" s="1"/>
  <c r="AJ25" i="2"/>
  <c r="AK25" i="2" s="1"/>
  <c r="W12" i="2"/>
  <c r="AN25" i="2"/>
  <c r="AO25" i="2" s="1"/>
  <c r="W25" i="2"/>
  <c r="AN16" i="2"/>
  <c r="AO16" i="2" s="1"/>
  <c r="H15" i="2"/>
  <c r="H19" i="2"/>
  <c r="AN19" i="2"/>
  <c r="AO19" i="2" s="1"/>
  <c r="W19" i="2"/>
  <c r="W18" i="2"/>
  <c r="AN18" i="2"/>
  <c r="AO18" i="2" s="1"/>
  <c r="W17" i="2"/>
  <c r="AN17" i="2"/>
  <c r="AO17" i="2" s="1"/>
  <c r="AN12" i="2"/>
  <c r="AO12" i="2" s="1"/>
  <c r="AL12" i="2"/>
  <c r="AM12" i="2" s="1"/>
  <c r="AJ12" i="2"/>
  <c r="Q31" i="2"/>
  <c r="X9" i="2"/>
  <c r="V9" i="2"/>
  <c r="H31" i="2" l="1"/>
  <c r="F31" i="2"/>
  <c r="AD31" i="2"/>
  <c r="AE31" i="2" s="1"/>
  <c r="R31" i="2"/>
  <c r="S31" i="2" s="1"/>
  <c r="AR29" i="2"/>
  <c r="AT29" i="2" s="1"/>
  <c r="AU29" i="2" s="1"/>
  <c r="O31" i="2"/>
  <c r="AP27" i="2"/>
  <c r="AR27" i="2" s="1"/>
  <c r="V31" i="2"/>
  <c r="AF31" i="2"/>
  <c r="AG31" i="2" s="1"/>
  <c r="AH31" i="2"/>
  <c r="AI31" i="2" s="1"/>
  <c r="X31" i="2"/>
  <c r="Y31" i="2" s="1"/>
  <c r="I13" i="2"/>
  <c r="I12" i="2"/>
  <c r="AP25" i="2"/>
  <c r="AR25" i="2" s="1"/>
  <c r="I15" i="2"/>
  <c r="I18" i="2"/>
  <c r="I17" i="2"/>
  <c r="I19" i="2"/>
  <c r="AP12" i="2"/>
  <c r="AK12" i="2"/>
  <c r="A48" i="2"/>
  <c r="A47" i="2"/>
  <c r="AL31" i="2" l="1"/>
  <c r="AM31" i="2" s="1"/>
  <c r="AS29" i="2"/>
  <c r="AQ27" i="2"/>
  <c r="AJ31" i="2"/>
  <c r="AK31" i="2" s="1"/>
  <c r="AN31" i="2"/>
  <c r="AO31" i="2" s="1"/>
  <c r="W31" i="2"/>
  <c r="AQ25" i="2"/>
  <c r="AT27" i="2"/>
  <c r="AU27" i="2" s="1"/>
  <c r="AS27" i="2"/>
  <c r="AS25" i="2"/>
  <c r="AT25" i="2"/>
  <c r="AU25" i="2" s="1"/>
  <c r="AQ12" i="2"/>
  <c r="AR12" i="2"/>
  <c r="A56" i="2"/>
  <c r="A63" i="2"/>
  <c r="A60" i="2"/>
  <c r="A61" i="2"/>
  <c r="A62" i="2"/>
  <c r="AP31" i="2" l="1"/>
  <c r="AQ31" i="2" s="1"/>
  <c r="AS12" i="2"/>
  <c r="AT12" i="2"/>
  <c r="AU12" i="2" s="1"/>
  <c r="AR31" i="2" l="1"/>
  <c r="AT31" i="2" s="1"/>
  <c r="AU31" i="2" s="1"/>
  <c r="AS31" i="2" l="1"/>
  <c r="F32" i="2"/>
  <c r="H32" i="2"/>
  <c r="H33" i="2" s="1"/>
  <c r="I32" i="2" l="1"/>
  <c r="I31" i="2"/>
  <c r="F33" i="2" l="1"/>
  <c r="F34" i="2" s="1"/>
  <c r="F35" i="2" s="1"/>
  <c r="I33" i="2" l="1"/>
  <c r="F36" i="2"/>
  <c r="H34" i="2" l="1"/>
  <c r="H35" i="2" s="1"/>
  <c r="AB11" i="2"/>
  <c r="AC11" i="2" s="1"/>
  <c r="AC32" i="2" s="1"/>
  <c r="Z11" i="2"/>
  <c r="AA11" i="2" s="1"/>
  <c r="AA32" i="2" s="1"/>
  <c r="M11" i="2"/>
  <c r="P11" i="2" s="1"/>
  <c r="I34" i="2" l="1"/>
  <c r="H36" i="2"/>
  <c r="I36" i="2" s="1"/>
  <c r="N11" i="2"/>
  <c r="T11" i="2" s="1"/>
  <c r="Q11" i="2"/>
  <c r="X11" i="2" l="1"/>
  <c r="Y11" i="2" s="1"/>
  <c r="V11" i="2"/>
  <c r="I35" i="2"/>
  <c r="U11" i="2"/>
  <c r="R11" i="2"/>
  <c r="S11" i="2" s="1"/>
  <c r="AD11" i="2"/>
  <c r="AE11" i="2" s="1"/>
  <c r="AH11" i="2"/>
  <c r="AI11" i="2" s="1"/>
  <c r="AF11" i="2"/>
  <c r="AG11" i="2" s="1"/>
  <c r="O11" i="2"/>
  <c r="AN11" i="2" l="1"/>
  <c r="AO11" i="2" s="1"/>
  <c r="W11" i="2"/>
  <c r="AL11" i="2"/>
  <c r="AM11" i="2" s="1"/>
  <c r="AJ11" i="2"/>
  <c r="AK11" i="2" s="1"/>
  <c r="AP11" i="2" l="1"/>
  <c r="AR11" i="2" s="1"/>
  <c r="AQ11" i="2" l="1"/>
  <c r="AT11" i="2"/>
  <c r="AU11" i="2" s="1"/>
  <c r="AS11" i="2"/>
  <c r="A41" i="2" l="1"/>
  <c r="A42" i="2"/>
  <c r="G81" i="6" l="1"/>
  <c r="G65" i="6"/>
  <c r="G66" i="6"/>
  <c r="G67" i="6"/>
  <c r="G68" i="6"/>
  <c r="G69" i="6"/>
  <c r="G70" i="6"/>
  <c r="G71" i="6"/>
  <c r="G72" i="6"/>
  <c r="G73" i="6"/>
  <c r="G74" i="6"/>
  <c r="G48" i="6"/>
  <c r="G49" i="6"/>
  <c r="G50" i="6"/>
  <c r="G51" i="6"/>
  <c r="G52" i="6"/>
  <c r="G53" i="6"/>
  <c r="G54" i="6"/>
  <c r="G55" i="6"/>
  <c r="G56" i="6"/>
  <c r="G57" i="6"/>
  <c r="G31" i="6"/>
  <c r="G32" i="6"/>
  <c r="G33" i="6"/>
  <c r="G34" i="6"/>
  <c r="G35" i="6"/>
  <c r="G36" i="6"/>
  <c r="G37" i="6"/>
  <c r="G38" i="6"/>
  <c r="G39" i="6"/>
  <c r="G40" i="6"/>
  <c r="G14" i="6"/>
  <c r="G15" i="6"/>
  <c r="G16" i="6"/>
  <c r="G17" i="6"/>
  <c r="G18" i="6"/>
  <c r="G19" i="6"/>
  <c r="G20" i="6"/>
  <c r="G21" i="6"/>
  <c r="G22" i="6"/>
  <c r="G23" i="6"/>
  <c r="G7" i="6"/>
  <c r="G8" i="6"/>
  <c r="G6" i="6"/>
  <c r="G5" i="6"/>
  <c r="G4" i="6"/>
  <c r="G87" i="6"/>
  <c r="G86" i="6"/>
  <c r="G85" i="6"/>
  <c r="G84" i="6"/>
  <c r="G83" i="6"/>
  <c r="G82" i="6"/>
  <c r="G80" i="6"/>
  <c r="G79" i="6"/>
  <c r="G78" i="6"/>
  <c r="G77" i="6"/>
  <c r="G76" i="6"/>
  <c r="G75" i="6"/>
  <c r="G64" i="6"/>
  <c r="G63" i="6"/>
  <c r="G62" i="6"/>
  <c r="G61" i="6"/>
  <c r="G60" i="6"/>
  <c r="G59" i="6"/>
  <c r="G58" i="6"/>
  <c r="G47" i="6"/>
  <c r="G46" i="6"/>
  <c r="G45" i="6"/>
  <c r="G44" i="6"/>
  <c r="G43" i="6"/>
  <c r="G42" i="6"/>
  <c r="G41" i="6"/>
  <c r="G30" i="6"/>
  <c r="G29" i="6"/>
  <c r="G28" i="6"/>
  <c r="G27" i="6"/>
  <c r="G26" i="6"/>
  <c r="G25" i="6"/>
  <c r="G24" i="6"/>
  <c r="G13" i="6"/>
  <c r="G12" i="6"/>
  <c r="G11" i="6"/>
  <c r="G10" i="6"/>
  <c r="G9" i="6"/>
  <c r="A57" i="2" l="1"/>
  <c r="A40" i="2"/>
  <c r="AT9" i="2" l="1"/>
  <c r="A70" i="2" l="1"/>
  <c r="A71" i="2"/>
  <c r="A69" i="2"/>
  <c r="A67" i="2"/>
  <c r="A54" i="2"/>
  <c r="A53" i="2"/>
  <c r="A52" i="2"/>
  <c r="A51" i="2"/>
  <c r="A50" i="2"/>
  <c r="A66" i="2"/>
  <c r="A65" i="2"/>
  <c r="AR9" i="2" l="1"/>
  <c r="AN9" i="2"/>
  <c r="AL9" i="2"/>
  <c r="AH9" i="2"/>
  <c r="AF9" i="2"/>
  <c r="AD9" i="2"/>
  <c r="AB9" i="2"/>
  <c r="Z9" i="2"/>
  <c r="R9" i="2"/>
  <c r="N9" i="2"/>
  <c r="M9" i="2"/>
  <c r="R2" i="2"/>
  <c r="AC37" i="2" l="1"/>
  <c r="AA37" i="2"/>
  <c r="P19" i="2"/>
  <c r="AJ19" i="2" s="1"/>
  <c r="AL19" i="2"/>
  <c r="AM19" i="2" s="1"/>
  <c r="AK19" i="2" l="1"/>
  <c r="AP19" i="2"/>
  <c r="Q19" i="2"/>
  <c r="AR19" i="2" l="1"/>
  <c r="AQ19" i="2"/>
  <c r="AT19" i="2" l="1"/>
  <c r="AU19" i="2" s="1"/>
  <c r="AS19" i="2"/>
  <c r="P18" i="2"/>
  <c r="AL18" i="2" s="1"/>
  <c r="AM18" i="2" s="1"/>
  <c r="Q18" i="2" l="1"/>
  <c r="AJ18" i="2"/>
  <c r="AK18" i="2" l="1"/>
  <c r="AP18" i="2"/>
  <c r="AQ18" i="2" l="1"/>
  <c r="AR18" i="2"/>
  <c r="AT18" i="2" l="1"/>
  <c r="AU18" i="2" s="1"/>
  <c r="AS18" i="2"/>
  <c r="P17" i="2"/>
  <c r="AJ17" i="2" s="1"/>
  <c r="AK17" i="2" l="1"/>
  <c r="Q17" i="2"/>
  <c r="AL17" i="2"/>
  <c r="AM17" i="2" s="1"/>
  <c r="AP17" i="2" l="1"/>
  <c r="AQ17" i="2" l="1"/>
  <c r="AR17" i="2"/>
  <c r="AT17" i="2" l="1"/>
  <c r="AU17" i="2" s="1"/>
  <c r="AS17" i="2"/>
  <c r="P15" i="2" l="1"/>
  <c r="Q15" i="2" s="1"/>
  <c r="N15" i="2"/>
  <c r="T15" i="2" s="1"/>
  <c r="U15" i="2" s="1"/>
  <c r="U32" i="2" s="1"/>
  <c r="U37" i="2" s="1"/>
  <c r="AD15" i="2"/>
  <c r="AE15" i="2" s="1"/>
  <c r="AE32" i="2" s="1"/>
  <c r="AE37" i="2" s="1"/>
  <c r="X15" i="2" l="1"/>
  <c r="Y15" i="2" s="1"/>
  <c r="Y32" i="2" s="1"/>
  <c r="Y37" i="2" s="1"/>
  <c r="V15" i="2"/>
  <c r="R15" i="2"/>
  <c r="S15" i="2" s="1"/>
  <c r="S32" i="2" s="1"/>
  <c r="S37" i="2" s="1"/>
  <c r="O15" i="2"/>
  <c r="O32" i="2" s="1"/>
  <c r="O37" i="2" s="1"/>
  <c r="AF15" i="2"/>
  <c r="AG15" i="2" s="1"/>
  <c r="AG32" i="2" s="1"/>
  <c r="AG37" i="2" s="1"/>
  <c r="AH15" i="2"/>
  <c r="AI15" i="2" s="1"/>
  <c r="AI32" i="2" s="1"/>
  <c r="AI37" i="2" s="1"/>
  <c r="AJ15" i="2" l="1"/>
  <c r="AN15" i="2"/>
  <c r="AO15" i="2" s="1"/>
  <c r="AO32" i="2" s="1"/>
  <c r="AO37" i="2" s="1"/>
  <c r="W15" i="2"/>
  <c r="W32" i="2" s="1"/>
  <c r="W37" i="2" s="1"/>
  <c r="AL15" i="2"/>
  <c r="AM15" i="2" s="1"/>
  <c r="AK15" i="2" l="1"/>
  <c r="AP15" i="2"/>
  <c r="AR15" i="2" l="1"/>
  <c r="AQ15" i="2"/>
  <c r="AS15" i="2" l="1"/>
  <c r="AT15" i="2"/>
  <c r="AU15" i="2" s="1"/>
  <c r="P13" i="2"/>
  <c r="Q13" i="2" s="1"/>
  <c r="AL13" i="2" l="1"/>
  <c r="AM13" i="2" s="1"/>
  <c r="AJ13" i="2"/>
  <c r="AK13" i="2" s="1"/>
  <c r="AP13" i="2" l="1"/>
  <c r="AQ13" i="2" s="1"/>
  <c r="AR13" i="2" l="1"/>
  <c r="AT13" i="2" s="1"/>
  <c r="AU13" i="2" s="1"/>
  <c r="AS13" i="2" l="1"/>
  <c r="P26" i="2" l="1"/>
  <c r="AL26" i="2" s="1"/>
  <c r="AJ26" i="2" l="1"/>
  <c r="AK26" i="2" s="1"/>
  <c r="Q26" i="2"/>
  <c r="AM26" i="2"/>
  <c r="AP26" i="2" l="1"/>
  <c r="AR26" i="2" s="1"/>
  <c r="AQ26" i="2" l="1"/>
  <c r="AS26" i="2"/>
  <c r="AT26" i="2"/>
  <c r="AU26" i="2" s="1"/>
  <c r="P28" i="2"/>
  <c r="Q28" i="2" s="1"/>
  <c r="AJ28" i="2"/>
  <c r="P30" i="2"/>
  <c r="AJ30" i="2" s="1"/>
  <c r="AL30" i="2"/>
  <c r="AM30" i="2" s="1"/>
  <c r="Q30" i="2" l="1"/>
  <c r="AP30" i="2"/>
  <c r="AK30" i="2"/>
  <c r="AK28" i="2"/>
  <c r="AL28" i="2"/>
  <c r="AM28" i="2" s="1"/>
  <c r="AP28" i="2" l="1"/>
  <c r="AR30" i="2"/>
  <c r="AQ30" i="2"/>
  <c r="AT30" i="2" l="1"/>
  <c r="AU30" i="2" s="1"/>
  <c r="AS30" i="2"/>
  <c r="AQ28" i="2"/>
  <c r="AR28" i="2"/>
  <c r="AT28" i="2" l="1"/>
  <c r="AU28" i="2" s="1"/>
  <c r="AS28" i="2"/>
  <c r="AK20" i="2"/>
  <c r="Q21" i="2"/>
  <c r="Q37" i="2"/>
  <c r="AM32" i="2"/>
  <c r="AM37" i="2"/>
  <c r="AL21" i="2"/>
  <c r="AM21" i="2"/>
  <c r="AQ16" i="2"/>
  <c r="AS16" i="2"/>
  <c r="AK16" i="2"/>
  <c r="AU21" i="2"/>
  <c r="AQ21" i="2"/>
  <c r="Q16" i="2"/>
  <c r="AS21" i="2"/>
  <c r="AR21" i="2"/>
  <c r="AT21" i="2"/>
  <c r="Q14" i="2"/>
  <c r="Q32" i="2"/>
  <c r="AQ20" i="2"/>
  <c r="AL16" i="2"/>
  <c r="AM16" i="2"/>
  <c r="Q20" i="2"/>
  <c r="AS20" i="2"/>
  <c r="AJ16" i="2"/>
  <c r="AP16" i="2"/>
  <c r="AR16" i="2"/>
  <c r="AT16" i="2"/>
  <c r="AU16" i="2"/>
  <c r="AQ37" i="2"/>
  <c r="P16" i="2"/>
  <c r="AK14" i="2"/>
  <c r="AK32" i="2"/>
  <c r="AK37" i="2"/>
  <c r="AT14" i="2"/>
  <c r="AU14" i="2"/>
  <c r="AU32" i="2"/>
  <c r="AU37" i="2"/>
  <c r="AL20" i="2"/>
  <c r="AM20" i="2"/>
  <c r="AK21" i="2"/>
  <c r="P21" i="2"/>
  <c r="AJ21" i="2"/>
  <c r="AP21" i="2"/>
  <c r="AL14" i="2"/>
  <c r="AM14" i="2"/>
  <c r="AR14" i="2"/>
  <c r="AS14" i="2"/>
  <c r="AS32" i="2"/>
  <c r="AS37" i="2"/>
  <c r="P14" i="2"/>
  <c r="AJ14" i="2"/>
  <c r="AP14" i="2"/>
  <c r="AQ14" i="2"/>
  <c r="AQ32" i="2"/>
  <c r="L15" i="2"/>
  <c r="P20" i="2"/>
  <c r="AJ20" i="2"/>
  <c r="AP20" i="2"/>
  <c r="AR20" i="2"/>
  <c r="AT20" i="2"/>
  <c r="AU20" i="2"/>
</calcChain>
</file>

<file path=xl/comments1.xml><?xml version="1.0" encoding="utf-8"?>
<comments xmlns="http://schemas.openxmlformats.org/spreadsheetml/2006/main">
  <authors>
    <author>My Tech</author>
  </authors>
  <commentList>
    <comment ref="T9" authorId="0" shapeId="0">
      <text>
        <r>
          <rPr>
            <b/>
            <sz val="9"/>
            <color indexed="81"/>
            <rFont val="Tahoma"/>
            <family val="2"/>
          </rPr>
          <t>Profit Statements:</t>
        </r>
        <r>
          <rPr>
            <sz val="9"/>
            <color indexed="81"/>
            <rFont val="Tahoma"/>
            <family val="2"/>
          </rPr>
          <t xml:space="preserve">
- 30% more added when we import 
- default 15% set for local imported or pure local items</t>
        </r>
      </text>
    </comment>
    <comment ref="V9" authorId="0" shapeId="0">
      <text>
        <r>
          <rPr>
            <b/>
            <sz val="9"/>
            <color indexed="81"/>
            <rFont val="Tahoma"/>
            <family val="2"/>
          </rPr>
          <t>Manpower Statements:</t>
        </r>
        <r>
          <rPr>
            <sz val="9"/>
            <color indexed="81"/>
            <rFont val="Tahoma"/>
            <family val="2"/>
          </rPr>
          <t xml:space="preserve">
- 10% more added to default 5% item related to Rft like pipe
like default 5% for Manpower required for entinguisher installation 
while 10% more for Manpower required for pipe installation</t>
        </r>
      </text>
    </comment>
    <comment ref="X9" authorId="0" shapeId="0">
      <text>
        <r>
          <rPr>
            <b/>
            <sz val="9"/>
            <color indexed="81"/>
            <rFont val="Tahoma"/>
            <family val="2"/>
          </rPr>
          <t>Manpower Statements:</t>
        </r>
        <r>
          <rPr>
            <sz val="9"/>
            <color indexed="81"/>
            <rFont val="Tahoma"/>
            <family val="2"/>
          </rPr>
          <t xml:space="preserve">
- 10% more added to default 5% item related to Rft like pipe
like default 5% for Fitting required for entinguisher installation 
while 10% more for Fitting required for pipe installation</t>
        </r>
      </text>
    </comment>
  </commentList>
</comments>
</file>

<file path=xl/sharedStrings.xml><?xml version="1.0" encoding="utf-8"?>
<sst xmlns="http://schemas.openxmlformats.org/spreadsheetml/2006/main" count="418" uniqueCount="197">
  <si>
    <t>To,</t>
  </si>
  <si>
    <t>S.NO</t>
  </si>
  <si>
    <t>DESCRIPTION</t>
  </si>
  <si>
    <t>QTY</t>
  </si>
  <si>
    <t>UNIT</t>
  </si>
  <si>
    <t>gap</t>
  </si>
  <si>
    <t>Supply</t>
  </si>
  <si>
    <t xml:space="preserve">Installation </t>
  </si>
  <si>
    <t>Testing &amp; Commissiong</t>
  </si>
  <si>
    <t>Before TAXATION</t>
  </si>
  <si>
    <t xml:space="preserve">Taxation </t>
  </si>
  <si>
    <t>After TAXATION</t>
  </si>
  <si>
    <t>Final Rate | Amount</t>
  </si>
  <si>
    <t>Material</t>
  </si>
  <si>
    <t xml:space="preserve">Importation </t>
  </si>
  <si>
    <t>Origin to Destination Transportation</t>
  </si>
  <si>
    <t>Our Profit</t>
  </si>
  <si>
    <t>Manpower</t>
  </si>
  <si>
    <t>Fittings</t>
  </si>
  <si>
    <t>Flushing</t>
  </si>
  <si>
    <t>Painting</t>
  </si>
  <si>
    <t>Drawings</t>
  </si>
  <si>
    <t>Testing</t>
  </si>
  <si>
    <t>Commissioning</t>
  </si>
  <si>
    <t>Total @ (S+I+T&amp;C)</t>
  </si>
  <si>
    <t xml:space="preserve">Total PKR (S+I+T&amp;C) </t>
  </si>
  <si>
    <t>GST 18%</t>
  </si>
  <si>
    <t>Provisional Sales Tax
B-13% | S-13% | P-13% | K-13% | I-13%</t>
  </si>
  <si>
    <t>WHT @</t>
  </si>
  <si>
    <t>G Total</t>
  </si>
  <si>
    <t>Region / Brand</t>
  </si>
  <si>
    <t>Local Imported / 
Local List Price</t>
  </si>
  <si>
    <t>Imorted List Prices USD</t>
  </si>
  <si>
    <t>per product cost PKR</t>
  </si>
  <si>
    <t>per product Importation PKR</t>
  </si>
  <si>
    <t>per product Origin to Destination Transportation PKR</t>
  </si>
  <si>
    <t>per product our profit PKR</t>
  </si>
  <si>
    <t>per product Manpower PKR</t>
  </si>
  <si>
    <t>per product Fittings PKR</t>
  </si>
  <si>
    <t>per product Flushing PKR</t>
  </si>
  <si>
    <t>per product Painting PKR</t>
  </si>
  <si>
    <t>per product Drawing PKR</t>
  </si>
  <si>
    <t>per product Testing PKR</t>
  </si>
  <si>
    <t>per product CommissioningPKR</t>
  </si>
  <si>
    <t xml:space="preserve">Total @ </t>
  </si>
  <si>
    <t>Total PKR</t>
  </si>
  <si>
    <t>Total GST per product</t>
  </si>
  <si>
    <t>Total Sale Tax per product</t>
  </si>
  <si>
    <t>Total @ Non WHT</t>
  </si>
  <si>
    <t>Total PKR Non WHT</t>
  </si>
  <si>
    <t>Total PKR WHT per product</t>
  </si>
  <si>
    <t xml:space="preserve"> </t>
  </si>
  <si>
    <t>Approved by:</t>
  </si>
  <si>
    <t>Prepared by:</t>
  </si>
  <si>
    <t>Mr. Munawar Hasan</t>
  </si>
  <si>
    <t>Engr. Muhammad Huzefa</t>
  </si>
  <si>
    <t>Director Sales &amp; Projects</t>
  </si>
  <si>
    <t>Estimation &amp; Design Engineer</t>
  </si>
  <si>
    <t>+92-300-9233273</t>
  </si>
  <si>
    <t>+92-306-7666644</t>
  </si>
  <si>
    <t>munawar.hasan@mytecheng.com</t>
  </si>
  <si>
    <t>m.huzefa@mytecheng.com</t>
  </si>
  <si>
    <t>Terms and Conditions</t>
  </si>
  <si>
    <t>Payment &amp; Taxes Terms:</t>
  </si>
  <si>
    <t>Delivery Terms:</t>
  </si>
  <si>
    <t>Warranty Terms:</t>
  </si>
  <si>
    <t>Validity Terms:</t>
  </si>
  <si>
    <t>Transportation/Accommodation/Food/Power for Work Terms:</t>
  </si>
  <si>
    <t>General Terms:</t>
  </si>
  <si>
    <t>PO Terms:</t>
  </si>
  <si>
    <t>Other Prifit @</t>
  </si>
  <si>
    <r>
      <t xml:space="preserve">( </t>
    </r>
    <r>
      <rPr>
        <b/>
        <sz val="10"/>
        <color rgb="FFFF0000"/>
        <rFont val="Century Gothic"/>
        <family val="2"/>
      </rPr>
      <t>S+I+T&amp;C</t>
    </r>
    <r>
      <rPr>
        <b/>
        <sz val="10"/>
        <color theme="1"/>
        <rFont val="Century Gothic"/>
        <family val="2"/>
      </rPr>
      <t xml:space="preserve"> + </t>
    </r>
    <r>
      <rPr>
        <b/>
        <sz val="10"/>
        <color theme="4" tint="-0.499984740745262"/>
        <rFont val="Century Gothic"/>
        <family val="2"/>
      </rPr>
      <t>GST</t>
    </r>
    <r>
      <rPr>
        <b/>
        <sz val="10"/>
        <color theme="1"/>
        <rFont val="Century Gothic"/>
        <family val="2"/>
      </rPr>
      <t xml:space="preserve"> + </t>
    </r>
    <r>
      <rPr>
        <b/>
        <sz val="10"/>
        <color theme="9" tint="-0.499984740745262"/>
        <rFont val="Century Gothic"/>
        <family val="2"/>
      </rPr>
      <t xml:space="preserve">ST </t>
    </r>
    <r>
      <rPr>
        <b/>
        <sz val="10"/>
        <color theme="1"/>
        <rFont val="Century Gothic"/>
        <family val="2"/>
      </rPr>
      <t xml:space="preserve">) @ </t>
    </r>
  </si>
  <si>
    <r>
      <t>(</t>
    </r>
    <r>
      <rPr>
        <b/>
        <sz val="10"/>
        <color rgb="FFFF0000"/>
        <rFont val="Century Gothic"/>
        <family val="2"/>
      </rPr>
      <t xml:space="preserve"> S+I+T&amp;C</t>
    </r>
    <r>
      <rPr>
        <b/>
        <sz val="10"/>
        <color theme="1"/>
        <rFont val="Century Gothic"/>
        <family val="2"/>
      </rPr>
      <t xml:space="preserve"> + </t>
    </r>
    <r>
      <rPr>
        <b/>
        <sz val="10"/>
        <color theme="8" tint="-0.249977111117893"/>
        <rFont val="Century Gothic"/>
        <family val="2"/>
      </rPr>
      <t>GST</t>
    </r>
    <r>
      <rPr>
        <b/>
        <sz val="10"/>
        <color theme="1"/>
        <rFont val="Century Gothic"/>
        <family val="2"/>
      </rPr>
      <t xml:space="preserve"> + </t>
    </r>
    <r>
      <rPr>
        <b/>
        <sz val="10"/>
        <color theme="9" tint="-0.249977111117893"/>
        <rFont val="Century Gothic"/>
        <family val="2"/>
      </rPr>
      <t xml:space="preserve">ST </t>
    </r>
    <r>
      <rPr>
        <b/>
        <sz val="10"/>
        <color theme="1"/>
        <rFont val="Century Gothic"/>
        <family val="2"/>
      </rPr>
      <t>) PKR</t>
    </r>
  </si>
  <si>
    <t xml:space="preserve">Address: </t>
  </si>
  <si>
    <t>House # B-278, Basement Floor, Block-1/A, Gulistan-e-Jauhar, Karachi, Pakistan.</t>
  </si>
  <si>
    <t>Each</t>
  </si>
  <si>
    <t>A</t>
  </si>
  <si>
    <t>A.1</t>
  </si>
  <si>
    <t>A.2</t>
  </si>
  <si>
    <t>Supply
Unit Rate</t>
  </si>
  <si>
    <t>Supply 
Amount</t>
  </si>
  <si>
    <t>Installation
Unit Rate</t>
  </si>
  <si>
    <t>Installation
Amount</t>
  </si>
  <si>
    <t>TOTAL 
AMOUNT</t>
  </si>
  <si>
    <t>B</t>
  </si>
  <si>
    <t>B.4</t>
  </si>
  <si>
    <t>B.1</t>
  </si>
  <si>
    <t>B.2</t>
  </si>
  <si>
    <t>B.3</t>
  </si>
  <si>
    <t>B.5</t>
  </si>
  <si>
    <t>B.6</t>
  </si>
  <si>
    <t>B.7</t>
  </si>
  <si>
    <t>B.8</t>
  </si>
  <si>
    <t>B.9</t>
  </si>
  <si>
    <t>B.10</t>
  </si>
  <si>
    <t>B.11</t>
  </si>
  <si>
    <t>B.12</t>
  </si>
  <si>
    <t>B.13</t>
  </si>
  <si>
    <t>B.14</t>
  </si>
  <si>
    <t>B.15</t>
  </si>
  <si>
    <t>B.16</t>
  </si>
  <si>
    <t>FACP &amp; Batteries</t>
  </si>
  <si>
    <t>C</t>
  </si>
  <si>
    <t>D</t>
  </si>
  <si>
    <t>E</t>
  </si>
  <si>
    <t>F</t>
  </si>
  <si>
    <t>G</t>
  </si>
  <si>
    <t>Job</t>
  </si>
  <si>
    <t>ROOM-B | 25' X 20' X 12'</t>
  </si>
  <si>
    <t>ROOM-C | 10' X 9.5' X 12'</t>
  </si>
  <si>
    <t>ROOM-D | 10' X 9.5' X 12'</t>
  </si>
  <si>
    <t>ROOM-E | 10' X 9.5' X 12'</t>
  </si>
  <si>
    <t>AREA-F| 9.5' X 9.5' X 12'</t>
  </si>
  <si>
    <t>AREA-G | 20' X 5' X 12'</t>
  </si>
  <si>
    <t>Supply Unit Rate</t>
  </si>
  <si>
    <t>Supply Amount</t>
  </si>
  <si>
    <t>Supply of Addressable fire Suppression Control Panel.  Previdia Max Series. UL Listed</t>
  </si>
  <si>
    <t>Supply of Batteries for Panel &amp; Power Supply</t>
  </si>
  <si>
    <t>Supply of Photo Electric smoke  with Base INIM</t>
  </si>
  <si>
    <t xml:space="preserve">Supply of Manual Pull Station for Fire Suppression release INIM </t>
  </si>
  <si>
    <t>Supply of Sounder with flasher INIM</t>
  </si>
  <si>
    <t>Supply of Fire Alarm INIM</t>
  </si>
  <si>
    <t>Supply of Control Module INIM UL Listed</t>
  </si>
  <si>
    <t>Supply of Monitor Module INIM UL Listed</t>
  </si>
  <si>
    <t>Supply of System Abort Switch INIM INIM</t>
  </si>
  <si>
    <t>Supply of Zone Disable switch INIM INIM</t>
  </si>
  <si>
    <t>Supply of Relay Module INIM UL Listed</t>
  </si>
  <si>
    <t>Supply of Vesda VLF 250 with piping networking &amp; accessories.</t>
  </si>
  <si>
    <t>Supply of Electrical wiring 1.5mm 2C (FR) &amp; conduiting, back boxes etc.</t>
  </si>
  <si>
    <t>Supply of Discharge Nozzle Assembly 360 angle NPT Thread</t>
  </si>
  <si>
    <t>Supply of Exit Area Novec 1230 sign</t>
  </si>
  <si>
    <t>Supply of Piping network Sch 40 MS, &amp; paint</t>
  </si>
  <si>
    <t>Supply of Fire Alarm INIM Bell</t>
  </si>
  <si>
    <t>Supply of System Abort Switch INIM</t>
  </si>
  <si>
    <t>Supply of Zone Disable switch INIM</t>
  </si>
  <si>
    <t xml:space="preserve">Supply of Container Assembly (Cylinder) with Accessories of cylinder. With 116 KG Novec 1230. Low Pressure Switch, Discharge pressure Switch, Actuator Supervisory switch UL Liisted Pe-Mall USA </t>
  </si>
  <si>
    <t>Supply of Flame Resistant paint</t>
  </si>
  <si>
    <t xml:space="preserve">Supply of Container Assembly (Cylinder) with Accessories of cylinder. With 23 KG Novec 1230. Low Pressure Switch, Discharge pressure Switch, Actuator Supervisory switch UL Liisted Pe-Mall USA </t>
  </si>
  <si>
    <t xml:space="preserve">GST @ 18% = </t>
  </si>
  <si>
    <t xml:space="preserve">After GST = </t>
  </si>
  <si>
    <t>Sub Total - A</t>
  </si>
  <si>
    <t xml:space="preserve">WHT Tax 5% = </t>
  </si>
  <si>
    <t>Grand TOTAL Payable =</t>
  </si>
  <si>
    <r>
      <t xml:space="preserve">SUB TOTAL </t>
    </r>
    <r>
      <rPr>
        <b/>
        <sz val="16"/>
        <rFont val="Century Gothic"/>
        <family val="2"/>
      </rPr>
      <t>A</t>
    </r>
    <r>
      <rPr>
        <b/>
        <sz val="12"/>
        <rFont val="Century Gothic"/>
        <family val="2"/>
      </rPr>
      <t xml:space="preserve"> Before Taxes = </t>
    </r>
  </si>
  <si>
    <t>Brand: LIFECO</t>
  </si>
  <si>
    <t>Nos</t>
  </si>
  <si>
    <t>A.3</t>
  </si>
  <si>
    <t>A.4</t>
  </si>
  <si>
    <t>A.5</t>
  </si>
  <si>
    <t>A.6</t>
  </si>
  <si>
    <t>A.7</t>
  </si>
  <si>
    <t>A.8</t>
  </si>
  <si>
    <t>A.9</t>
  </si>
  <si>
    <t>A.10</t>
  </si>
  <si>
    <t>A.11</t>
  </si>
  <si>
    <t>A.12</t>
  </si>
  <si>
    <t>A.13</t>
  </si>
  <si>
    <t>A.14</t>
  </si>
  <si>
    <t>PRA @ 16% =</t>
  </si>
  <si>
    <t xml:space="preserve">After PRA = </t>
  </si>
  <si>
    <t>Karachi,Pakistan.</t>
  </si>
  <si>
    <t>The Above Quote Price is based on BOQ shared by client. Any other Additional Items if required by client will be charged Accordingly.</t>
  </si>
  <si>
    <r>
      <t>Date :</t>
    </r>
    <r>
      <rPr>
        <b/>
        <sz val="20"/>
        <color theme="1"/>
        <rFont val="Century Gothic"/>
        <family val="2"/>
      </rPr>
      <t>03-JAN-2026</t>
    </r>
  </si>
  <si>
    <r>
      <t xml:space="preserve">Date | Rev # : </t>
    </r>
    <r>
      <rPr>
        <b/>
        <sz val="20"/>
        <color theme="1"/>
        <rFont val="Century Gothic"/>
        <family val="2"/>
      </rPr>
      <t>06-JAN-2026 | A0</t>
    </r>
  </si>
  <si>
    <t>QUOTATION FOR Fire Fighting Equipments for Imtiaz Super Market Safora Goth, PAKISTAN.
(Supply Only)</t>
  </si>
  <si>
    <t>Fire Fighting Equipments</t>
  </si>
  <si>
    <t>FIRE FIGHTING SERVICES</t>
  </si>
  <si>
    <t>Nos.</t>
  </si>
  <si>
    <t>Mohamad Ashraf,</t>
  </si>
  <si>
    <t>Pioneer Engineering,</t>
  </si>
  <si>
    <t>Brand: Locally</t>
  </si>
  <si>
    <r>
      <t xml:space="preserve">Qutation # : </t>
    </r>
    <r>
      <rPr>
        <b/>
        <sz val="20"/>
        <color theme="1"/>
        <rFont val="Century Gothic"/>
        <family val="2"/>
      </rPr>
      <t>MTQ-AA01173-FPS-A0</t>
    </r>
  </si>
  <si>
    <t>Wet Chemical Extinguisher 03 Liters Kitchen (Zone-1)</t>
  </si>
  <si>
    <t>Pump Room, Zone-2, Museum, Café Building 5kg Pump Room, Zone-2, Museum, Café Building</t>
  </si>
  <si>
    <t>Fire Hose Cabinet (FHC)Class-III, Double Compartment Zone-2, Museum, Café Building, Souvenir Shop</t>
  </si>
  <si>
    <r>
      <rPr>
        <b/>
        <sz val="14"/>
        <color rgb="FF000000"/>
        <rFont val="Century Gothic"/>
        <family val="2"/>
      </rPr>
      <t xml:space="preserve">Sprinkler Heads                                                                                                                         </t>
    </r>
    <r>
      <rPr>
        <sz val="14"/>
        <color rgb="FF000000"/>
        <rFont val="Century Gothic"/>
        <family val="2"/>
      </rPr>
      <t xml:space="preserve">Upright / Pendant / Concealed   Car Parking, False Ceiling, Exposed Areas                                   </t>
    </r>
  </si>
  <si>
    <t>Zone Control Valve (ZCV)Standard Zone-2, Museum, Café Building</t>
  </si>
  <si>
    <t>Personal Protective Equipment (PPE) Standard Zone-2, Café Building</t>
  </si>
  <si>
    <t xml:space="preserve"> Lot</t>
  </si>
  <si>
    <r>
      <t xml:space="preserve">pipe Network MS Seamless Schedule-40                                                                       </t>
    </r>
    <r>
      <rPr>
        <b/>
        <sz val="14"/>
        <color rgb="FF000000"/>
        <rFont val="Century Gothic"/>
        <family val="2"/>
      </rPr>
      <t>Ø1”, Ø1-1/2”, Ø2”, Ø2-1/2”, Ø6”</t>
    </r>
  </si>
  <si>
    <t>Fire Hose Reel Cabinet Holder Fabricated Steel Typical Detail</t>
  </si>
  <si>
    <t>As required</t>
  </si>
  <si>
    <t>Entire Project</t>
  </si>
  <si>
    <r>
      <rPr>
        <b/>
        <sz val="14"/>
        <color rgb="FF000000"/>
        <rFont val="Century Gothic"/>
        <family val="2"/>
      </rPr>
      <t>Pump Accessories</t>
    </r>
    <r>
      <rPr>
        <sz val="14"/>
        <color rgb="FF000000"/>
        <rFont val="Century Gothic"/>
        <family val="2"/>
      </rPr>
      <t xml:space="preserve"> Gate Valve, Ball Valve, NRV, Flexible Coupling, Suction &amp; Delivery Manifold, Pressure Gauge, Pressure Switch, Battery  Pump room</t>
    </r>
  </si>
  <si>
    <t>Lot</t>
  </si>
  <si>
    <t>Breeching Inlet 4-Way External façade (Monument &amp; Café)</t>
  </si>
  <si>
    <t>External Façade</t>
  </si>
  <si>
    <t>Brand LIFECO</t>
  </si>
  <si>
    <t xml:space="preserve">Automatic Fire Extinguisher (Clean Agent) 6kg Zone-1 (Boundary Wall, Generator, Dormitory, Store, Pump Room), Zone-2, Museum, Viewing Deck                                             </t>
  </si>
  <si>
    <r>
      <rPr>
        <b/>
        <sz val="14"/>
        <color rgb="FF000000"/>
        <rFont val="Century Gothic"/>
        <family val="2"/>
      </rPr>
      <t xml:space="preserve"> Consealed  Sprinkler</t>
    </r>
    <r>
      <rPr>
        <sz val="14"/>
        <color rgb="FF000000"/>
        <rFont val="Century Gothic"/>
        <family val="2"/>
      </rPr>
      <t xml:space="preserve">                                                                                                           Lower Floor plan (Zone-2)                                                                                                        </t>
    </r>
    <r>
      <rPr>
        <b/>
        <sz val="14"/>
        <color rgb="FF000000"/>
        <rFont val="Century Gothic"/>
        <family val="2"/>
      </rPr>
      <t xml:space="preserve">LIFECO-UK Fire Sprinkler, Concealed Pendent Type, 1/2", Sprinkler Temperature Ratings 68 °C &amp; Cover Temperature Ratings 57 °C , K-Factor 5.6 (80), Standard Response, Chrome Plate Color, UL Listed, Model LF830   </t>
    </r>
    <r>
      <rPr>
        <sz val="14"/>
        <color rgb="FF000000"/>
        <rFont val="Century Gothic"/>
        <family val="2"/>
      </rPr>
      <t xml:space="preserve">                                                                                                       </t>
    </r>
  </si>
  <si>
    <r>
      <t xml:space="preserve">DCP Fire Extinguisher 6kg Pump Room, Zone-2, Museum, Café Building           </t>
    </r>
    <r>
      <rPr>
        <b/>
        <sz val="16"/>
        <color rgb="FF000000"/>
        <rFont val="New century gothic"/>
      </rPr>
      <t>Extinguisher, Portable 6 kg ABC Powder, 34A&amp;183B, BSI KM Approved, LIFECO-UK, Model LF-PDP-6</t>
    </r>
  </si>
  <si>
    <r>
      <t xml:space="preserve"> </t>
    </r>
    <r>
      <rPr>
        <b/>
        <sz val="14"/>
        <color rgb="FF000000"/>
        <rFont val="Century Gothic"/>
        <family val="2"/>
      </rPr>
      <t xml:space="preserve">Consealed  Sprinkler </t>
    </r>
    <r>
      <rPr>
        <sz val="14"/>
        <color rgb="FF000000"/>
        <rFont val="Century Gothic"/>
        <family val="2"/>
      </rPr>
      <t xml:space="preserve">                                                                                                                                         Room Near Services Area Parking (Zone-1)                                                                                                  </t>
    </r>
    <r>
      <rPr>
        <b/>
        <sz val="14"/>
        <color rgb="FF000000"/>
        <rFont val="Century Gothic"/>
        <family val="2"/>
      </rPr>
      <t>LIFECO-UK Fire Sprinkler, Concealed Pendent Type, 1/2", Sprinkler Temperature Ratings 57 °C &amp; Cover Temperature Ratings 57 °C , K-Factor 5.6 (80), Standard Response, Chrome Plate Color, UL Listed, Model LF830</t>
    </r>
  </si>
  <si>
    <r>
      <t xml:space="preserve">Fire Blanket Zone-1 (Kitchen), Zone-2, Museum, Café Building                                         </t>
    </r>
    <r>
      <rPr>
        <b/>
        <sz val="16"/>
        <color rgb="FF000000"/>
        <rFont val="Times New Roman"/>
        <family val="1"/>
      </rPr>
      <t>Fire Blanket, White Colour, with Black Strip, Hard Flat PVC Case in Red Colour, Size 1.2mx1.8m,  Model LFB</t>
    </r>
  </si>
  <si>
    <r>
      <rPr>
        <b/>
        <sz val="14"/>
        <color rgb="FF000000"/>
        <rFont val="Century Gothic"/>
        <family val="2"/>
      </rPr>
      <t xml:space="preserve">Concealed Sprinkler  </t>
    </r>
    <r>
      <rPr>
        <sz val="14"/>
        <color rgb="FF000000"/>
        <rFont val="Century Gothic"/>
        <family val="2"/>
      </rPr>
      <t xml:space="preserve">                                                                                                                                                     Ground Floor plan (Zone-4)                                                                                            </t>
    </r>
    <r>
      <rPr>
        <b/>
        <sz val="14"/>
        <color rgb="FF000000"/>
        <rFont val="Century Gothic"/>
        <family val="2"/>
      </rPr>
      <t>LIFECO-UK Fire Sprinkler, Concealed Pendent Type, 1/2", Sprinkler Temperature Ratings 68 °C &amp; Cover Temperature Ratings 57 °C , K-Factor 5.6 (80), Standard Response, Chrome Plate Color, UL Listed, Model LF830</t>
    </r>
  </si>
  <si>
    <r>
      <rPr>
        <b/>
        <sz val="14"/>
        <color rgb="FF000000"/>
        <rFont val="Century Gothic"/>
        <family val="2"/>
      </rPr>
      <t>Concealed Sprinkler</t>
    </r>
    <r>
      <rPr>
        <sz val="14"/>
        <color rgb="FF000000"/>
        <rFont val="Century Gothic"/>
        <family val="2"/>
      </rPr>
      <t xml:space="preserve">                                                                                                                                                       First Floor plan (Zone-4)                                                                                                           </t>
    </r>
    <r>
      <rPr>
        <b/>
        <sz val="14"/>
        <color rgb="FF000000"/>
        <rFont val="Century Gothic"/>
        <family val="2"/>
      </rPr>
      <t>LIFECO-UK Fire Sprinkler, Concealed Pendent Type, 1/2", Sprinkler Temperature Ratings 68 °C &amp; Cover Temperature Ratings 57 °C , K-Factor 5.6 (80), Standard Response, Chrome Plate Color, UL Listed, Model LF830</t>
    </r>
    <r>
      <rPr>
        <sz val="14"/>
        <color rgb="FF000000"/>
        <rFont val="Century Gothic"/>
        <family val="2"/>
      </rPr>
      <t xml:space="preserve">                                                                                            </t>
    </r>
  </si>
  <si>
    <r>
      <t xml:space="preserve">Upright Sprinkler                                                                                                                </t>
    </r>
    <r>
      <rPr>
        <sz val="14"/>
        <color rgb="FF000000"/>
        <rFont val="Century Gothic"/>
        <family val="2"/>
      </rPr>
      <t xml:space="preserve">Museum Floor plan(Zone-2)                                                                                          </t>
    </r>
    <r>
      <rPr>
        <b/>
        <sz val="14"/>
        <color rgb="FF000000"/>
        <rFont val="Century Gothic"/>
        <family val="2"/>
      </rPr>
      <t xml:space="preserve">LIFECO-UK Fire Sprinkler, Upright Type, 1/2", Temperature Ratings 57 °C, K-Factor 5.6 (80), Standard Response, Chrome Plated, UL/FM Approved, Model LF610  </t>
    </r>
    <r>
      <rPr>
        <sz val="14"/>
        <color rgb="FF000000"/>
        <rFont val="Century Gothic"/>
        <family val="2"/>
      </rPr>
      <t xml:space="preserve">                                                                                                                                                                                    </t>
    </r>
  </si>
  <si>
    <t xml:space="preserve"> 3 .77</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</si>
</sst>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_([$PKR]\ * #,##0.00_);_([$PKR]\ * \(#,##0.00\);_([$PKR]\ * &quot;-&quot;??_);_(@_)"/>
    <numFmt numFmtId="165" formatCode="_(* #,##0_);_(* \(#,##0\);_(* &quot;-&quot;??_);_(@_)"/>
    <numFmt numFmtId="166" formatCode="_([$$-409]* #,##0.00_);_([$$-409]* \(#,##0.00\);_([$$-409]* &quot;-&quot;??_);_(@_)"/>
    <numFmt numFmtId="167" formatCode="_([$USD]\ * #,##0.00_);_([$USD]\ * \(#,##0.00\);_([$USD]\ * &quot;-&quot;??_);_(@_)"/>
  </numFmts>
  <fonts count="59" x14ac:knownFonts="1">
    <font>
      <sz val="10"/>
      <color rgb="FF000000"/>
      <name val="Times New Roman"/>
      <charset val="204"/>
    </font>
    <font>
      <sz val="10"/>
      <color rgb="FF000000"/>
      <name val="Times New Roman"/>
      <family val="1"/>
    </font>
    <font>
      <b/>
      <sz val="9"/>
      <color indexed="81"/>
      <name val="Tahoma"/>
      <family val="2"/>
    </font>
    <font>
      <sz val="9"/>
      <color indexed="81"/>
      <name val="Tahoma"/>
      <family val="2"/>
    </font>
    <font>
      <u/>
      <sz val="10"/>
      <color theme="10"/>
      <name val="Times New Roman"/>
      <family val="1"/>
    </font>
    <font>
      <b/>
      <sz val="10"/>
      <name val="Century Gothic"/>
      <family val="2"/>
    </font>
    <font>
      <sz val="10"/>
      <color rgb="FF000000"/>
      <name val="Century Gothic"/>
      <family val="2"/>
    </font>
    <font>
      <b/>
      <sz val="10"/>
      <color theme="1"/>
      <name val="Century Gothic"/>
      <family val="2"/>
    </font>
    <font>
      <b/>
      <sz val="14"/>
      <color rgb="FF000000"/>
      <name val="Century Gothic"/>
      <family val="2"/>
    </font>
    <font>
      <b/>
      <sz val="10"/>
      <color rgb="FFFF0000"/>
      <name val="Century Gothic"/>
      <family val="2"/>
    </font>
    <font>
      <b/>
      <sz val="10"/>
      <color theme="4" tint="-0.499984740745262"/>
      <name val="Century Gothic"/>
      <family val="2"/>
    </font>
    <font>
      <b/>
      <sz val="10"/>
      <color theme="9" tint="-0.499984740745262"/>
      <name val="Century Gothic"/>
      <family val="2"/>
    </font>
    <font>
      <b/>
      <sz val="10"/>
      <color theme="8" tint="-0.249977111117893"/>
      <name val="Century Gothic"/>
      <family val="2"/>
    </font>
    <font>
      <b/>
      <sz val="10"/>
      <color theme="9" tint="-0.249977111117893"/>
      <name val="Century Gothic"/>
      <family val="2"/>
    </font>
    <font>
      <b/>
      <sz val="9"/>
      <name val="Century Gothic"/>
      <family val="2"/>
    </font>
    <font>
      <sz val="10"/>
      <color theme="1"/>
      <name val="Century Gothic"/>
      <family val="2"/>
    </font>
    <font>
      <b/>
      <sz val="12"/>
      <name val="Century Gothic"/>
      <family val="2"/>
    </font>
    <font>
      <sz val="11"/>
      <color rgb="FF000000"/>
      <name val="Century Gothic"/>
      <family val="2"/>
    </font>
    <font>
      <b/>
      <sz val="12"/>
      <color rgb="FF000000"/>
      <name val="Century Gothic"/>
      <family val="2"/>
    </font>
    <font>
      <b/>
      <sz val="16"/>
      <name val="Century Gothic"/>
      <family val="2"/>
    </font>
    <font>
      <b/>
      <sz val="16"/>
      <color theme="0"/>
      <name val="Century Gothic"/>
      <family val="2"/>
    </font>
    <font>
      <b/>
      <sz val="12"/>
      <color theme="1"/>
      <name val="Century Gothic"/>
      <family val="2"/>
    </font>
    <font>
      <sz val="10"/>
      <name val="Calibri"/>
      <family val="2"/>
      <scheme val="minor"/>
    </font>
    <font>
      <b/>
      <sz val="16"/>
      <color rgb="FF000000"/>
      <name val="Century Gothic"/>
      <family val="2"/>
    </font>
    <font>
      <b/>
      <i/>
      <sz val="12"/>
      <name val="Century Gothic"/>
      <family val="2"/>
    </font>
    <font>
      <i/>
      <sz val="12"/>
      <name val="Century Gothic"/>
      <family val="2"/>
    </font>
    <font>
      <i/>
      <sz val="12"/>
      <color rgb="FF000000"/>
      <name val="Century Gothic"/>
      <family val="2"/>
    </font>
    <font>
      <sz val="8"/>
      <color rgb="FF000000"/>
      <name val="Century Gothic"/>
      <family val="2"/>
    </font>
    <font>
      <b/>
      <i/>
      <sz val="12"/>
      <color rgb="FF000000"/>
      <name val="Century Gothic"/>
      <family val="2"/>
    </font>
    <font>
      <b/>
      <sz val="11"/>
      <color theme="0"/>
      <name val="Century Gothic"/>
      <family val="2"/>
    </font>
    <font>
      <b/>
      <sz val="11"/>
      <name val="Century Gothic"/>
      <family val="2"/>
    </font>
    <font>
      <b/>
      <sz val="11"/>
      <color rgb="FF000000"/>
      <name val="Century Gothic"/>
      <family val="2"/>
    </font>
    <font>
      <b/>
      <sz val="20"/>
      <color rgb="FF000000"/>
      <name val="Century Gothic"/>
      <family val="2"/>
    </font>
    <font>
      <b/>
      <i/>
      <sz val="13"/>
      <name val="Century Gothic"/>
      <family val="2"/>
    </font>
    <font>
      <b/>
      <sz val="13"/>
      <name val="Century Gothic"/>
      <family val="2"/>
    </font>
    <font>
      <i/>
      <sz val="14"/>
      <color theme="1"/>
      <name val="Century Gothic"/>
      <family val="2"/>
    </font>
    <font>
      <i/>
      <sz val="14"/>
      <name val="Century Gothic"/>
      <family val="2"/>
    </font>
    <font>
      <b/>
      <sz val="14"/>
      <name val="Century Gothic"/>
      <family val="2"/>
    </font>
    <font>
      <sz val="14"/>
      <color rgb="FF000000"/>
      <name val="Century Gothic"/>
      <family val="2"/>
    </font>
    <font>
      <i/>
      <sz val="14"/>
      <color rgb="FF000000"/>
      <name val="Century Gothic"/>
      <family val="2"/>
    </font>
    <font>
      <u/>
      <sz val="14"/>
      <color theme="10"/>
      <name val="Century Gothic"/>
      <family val="2"/>
    </font>
    <font>
      <b/>
      <sz val="22"/>
      <name val="Calibri"/>
      <family val="2"/>
      <scheme val="minor"/>
    </font>
    <font>
      <b/>
      <sz val="16"/>
      <color theme="1"/>
      <name val="Calibri"/>
      <family val="2"/>
      <scheme val="minor"/>
    </font>
    <font>
      <b/>
      <sz val="20"/>
      <color theme="1"/>
      <name val="Century Gothic"/>
      <family val="2"/>
    </font>
    <font>
      <b/>
      <sz val="20"/>
      <name val="Century Gothic"/>
      <family val="2"/>
    </font>
    <font>
      <sz val="20"/>
      <color theme="1"/>
      <name val="Century Gothic"/>
      <family val="2"/>
    </font>
    <font>
      <sz val="18"/>
      <color rgb="FF000000"/>
      <name val="Century Gothic"/>
      <family val="2"/>
    </font>
    <font>
      <b/>
      <sz val="22"/>
      <color rgb="FF000000"/>
      <name val="Century Gothic"/>
      <family val="2"/>
    </font>
    <font>
      <b/>
      <sz val="26"/>
      <color rgb="FF000000"/>
      <name val="Century Gothic"/>
      <family val="2"/>
    </font>
    <font>
      <b/>
      <u/>
      <sz val="12"/>
      <color theme="1"/>
      <name val="Century Gothic"/>
      <family val="2"/>
    </font>
    <font>
      <sz val="12"/>
      <name val="Century Gothic"/>
      <family val="2"/>
    </font>
    <font>
      <sz val="8"/>
      <name val="Times New Roman"/>
      <family val="1"/>
    </font>
    <font>
      <sz val="10"/>
      <color rgb="FF000000"/>
      <name val="Times New Roman"/>
      <charset val="204"/>
    </font>
    <font>
      <sz val="16"/>
      <color rgb="FF000000"/>
      <name val="Times New Roman"/>
      <family val="1"/>
    </font>
    <font>
      <b/>
      <sz val="16"/>
      <color rgb="FF000000"/>
      <name val="Times New Roman"/>
      <family val="1"/>
    </font>
    <font>
      <sz val="16"/>
      <color rgb="FF000000"/>
      <name val="New century gothic"/>
    </font>
    <font>
      <b/>
      <sz val="16"/>
      <color rgb="FF000000"/>
      <name val="New century gothic"/>
    </font>
    <font>
      <sz val="8"/>
      <name val="Arial"/>
      <family val="2"/>
    </font>
    <font>
      <b/>
      <sz val="11"/>
      <color theme="9" tint="-0.499984740745262"/>
      <name val="Calibri"/>
      <family val="2"/>
      <scheme val="minor"/>
    </font>
  </fonts>
  <fills count="25">
    <fill>
      <patternFill patternType="none"/>
    </fill>
    <fill>
      <patternFill patternType="gray125"/>
    </fill>
    <fill>
      <patternFill patternType="solid">
        <fgColor theme="0" tint="-0.14999847407452621"/>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rgb="FFFF0000"/>
        <bgColor indexed="64"/>
      </patternFill>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C00000"/>
        <bgColor indexed="64"/>
      </patternFill>
    </fill>
    <fill>
      <patternFill patternType="solid">
        <fgColor theme="5" tint="-0.249977111117893"/>
        <bgColor indexed="64"/>
      </patternFill>
    </fill>
    <fill>
      <patternFill patternType="solid">
        <fgColor rgb="FF00B050"/>
        <bgColor indexed="64"/>
      </patternFill>
    </fill>
    <fill>
      <patternFill patternType="solid">
        <fgColor rgb="FF9F6161"/>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B48CFC"/>
        <bgColor indexed="64"/>
      </patternFill>
    </fill>
    <fill>
      <patternFill patternType="solid">
        <fgColor rgb="FFAF5151"/>
        <bgColor indexed="64"/>
      </patternFill>
    </fill>
    <fill>
      <patternFill patternType="solid">
        <fgColor theme="5" tint="0.59999389629810485"/>
        <bgColor indexed="64"/>
      </patternFill>
    </fill>
    <fill>
      <patternFill patternType="solid">
        <fgColor theme="2"/>
        <bgColor indexed="64"/>
      </patternFill>
    </fill>
    <fill>
      <patternFill patternType="solid">
        <fgColor theme="0" tint="-0.34998626667073579"/>
        <bgColor indexed="64"/>
      </patternFill>
    </fill>
    <fill>
      <patternFill patternType="solid">
        <fgColor theme="1" tint="0.249977111117893"/>
        <bgColor indexed="64"/>
      </patternFill>
    </fill>
    <fill>
      <patternFill patternType="solid">
        <fgColor rgb="FFFFFF00"/>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0"/>
        <bgColor indexed="64"/>
      </patternFill>
    </fill>
  </fills>
  <borders count="5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indexed="64"/>
      </right>
      <top/>
      <bottom style="medium">
        <color indexed="64"/>
      </bottom>
      <diagonal/>
    </border>
    <border>
      <left/>
      <right/>
      <top/>
      <bottom style="medium">
        <color indexed="64"/>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bottom style="thin">
        <color rgb="FF000000"/>
      </bottom>
      <diagonal/>
    </border>
    <border>
      <left style="medium">
        <color indexed="64"/>
      </left>
      <right style="thin">
        <color rgb="FF000000"/>
      </right>
      <top/>
      <bottom style="thin">
        <color rgb="FF00000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top style="medium">
        <color auto="1"/>
      </top>
      <bottom style="medium">
        <color auto="1"/>
      </bottom>
      <diagonal/>
    </border>
    <border>
      <left/>
      <right style="dashed">
        <color indexed="64"/>
      </right>
      <top style="medium">
        <color indexed="64"/>
      </top>
      <bottom style="dashed">
        <color indexed="64"/>
      </bottom>
      <diagonal/>
    </border>
    <border>
      <left/>
      <right style="dotted">
        <color auto="1"/>
      </right>
      <top/>
      <bottom style="dashed">
        <color auto="1"/>
      </bottom>
      <diagonal/>
    </border>
    <border>
      <left style="dotted">
        <color auto="1"/>
      </left>
      <right style="dotted">
        <color auto="1"/>
      </right>
      <top/>
      <bottom style="dashed">
        <color auto="1"/>
      </bottom>
      <diagonal/>
    </border>
    <border>
      <left style="dotted">
        <color auto="1"/>
      </left>
      <right/>
      <top/>
      <bottom style="dashed">
        <color auto="1"/>
      </bottom>
      <diagonal/>
    </border>
    <border>
      <left/>
      <right style="dashed">
        <color indexed="64"/>
      </right>
      <top/>
      <bottom style="dashed">
        <color indexed="64"/>
      </bottom>
      <diagonal/>
    </border>
    <border>
      <left/>
      <right style="dotted">
        <color auto="1"/>
      </right>
      <top style="dashed">
        <color auto="1"/>
      </top>
      <bottom style="dashed">
        <color auto="1"/>
      </bottom>
      <diagonal/>
    </border>
    <border>
      <left style="dotted">
        <color auto="1"/>
      </left>
      <right style="dotted">
        <color auto="1"/>
      </right>
      <top style="dashed">
        <color auto="1"/>
      </top>
      <bottom style="dashed">
        <color auto="1"/>
      </bottom>
      <diagonal/>
    </border>
    <border>
      <left style="dotted">
        <color auto="1"/>
      </left>
      <right/>
      <top style="dashed">
        <color auto="1"/>
      </top>
      <bottom style="dashed">
        <color auto="1"/>
      </bottom>
      <diagonal/>
    </border>
    <border>
      <left/>
      <right/>
      <top style="medium">
        <color indexed="64"/>
      </top>
      <bottom style="medium">
        <color indexed="64"/>
      </bottom>
      <diagonal/>
    </border>
    <border>
      <left style="thin">
        <color rgb="FF000000"/>
      </left>
      <right/>
      <top style="thin">
        <color rgb="FF000000"/>
      </top>
      <bottom style="thin">
        <color rgb="FF000000"/>
      </bottom>
      <diagonal/>
    </border>
    <border>
      <left style="thin">
        <color rgb="FF000000"/>
      </left>
      <right/>
      <top style="medium">
        <color indexed="64"/>
      </top>
      <bottom style="thin">
        <color rgb="FF000000"/>
      </bottom>
      <diagonal/>
    </border>
    <border>
      <left/>
      <right/>
      <top style="medium">
        <color indexed="64"/>
      </top>
      <bottom style="thin">
        <color rgb="FF000000"/>
      </bottom>
      <diagonal/>
    </border>
    <border>
      <left/>
      <right style="thin">
        <color rgb="FF000000"/>
      </right>
      <top style="medium">
        <color indexed="64"/>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ashed">
        <color indexed="64"/>
      </left>
      <right style="thin">
        <color indexed="64"/>
      </right>
      <top style="dashed">
        <color auto="1"/>
      </top>
      <bottom style="dashed">
        <color auto="1"/>
      </bottom>
      <diagonal/>
    </border>
    <border>
      <left style="dashed">
        <color indexed="64"/>
      </left>
      <right style="thin">
        <color indexed="64"/>
      </right>
      <top/>
      <bottom style="dashed">
        <color auto="1"/>
      </bottom>
      <diagonal/>
    </border>
    <border>
      <left style="thin">
        <color theme="1"/>
      </left>
      <right style="thin">
        <color theme="1"/>
      </right>
      <top style="thin">
        <color theme="1"/>
      </top>
      <bottom style="thin">
        <color theme="1"/>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1" fillId="0" borderId="0"/>
    <xf numFmtId="44" fontId="52" fillId="0" borderId="0" applyFont="0" applyFill="0" applyBorder="0" applyAlignment="0" applyProtection="0"/>
    <xf numFmtId="0" fontId="57" fillId="0" borderId="0"/>
  </cellStyleXfs>
  <cellXfs count="200">
    <xf numFmtId="0" fontId="0" fillId="0" borderId="0" xfId="0" applyAlignment="1">
      <alignment horizontal="left" vertical="top"/>
    </xf>
    <xf numFmtId="0" fontId="5" fillId="0" borderId="0" xfId="0" applyFont="1" applyAlignment="1">
      <alignment horizontal="center" vertical="center" wrapText="1"/>
    </xf>
    <xf numFmtId="0" fontId="5" fillId="0" borderId="0" xfId="0" applyFont="1" applyAlignment="1">
      <alignment vertical="top" wrapText="1"/>
    </xf>
    <xf numFmtId="0" fontId="6" fillId="0" borderId="0" xfId="0" applyFont="1" applyAlignment="1">
      <alignment horizontal="left" vertical="top" wrapText="1"/>
    </xf>
    <xf numFmtId="0" fontId="6" fillId="0" borderId="0" xfId="0" applyFont="1" applyAlignment="1">
      <alignment horizontal="left" vertical="top"/>
    </xf>
    <xf numFmtId="0" fontId="6" fillId="2" borderId="11" xfId="0" applyFont="1" applyFill="1" applyBorder="1" applyAlignment="1">
      <alignment horizontal="left" vertical="top" wrapText="1"/>
    </xf>
    <xf numFmtId="10" fontId="6" fillId="0" borderId="0" xfId="0" applyNumberFormat="1" applyFont="1" applyAlignment="1">
      <alignment horizontal="left" vertical="top" wrapText="1"/>
    </xf>
    <xf numFmtId="0" fontId="6" fillId="2" borderId="12" xfId="0" applyFont="1" applyFill="1" applyBorder="1" applyAlignment="1">
      <alignment horizontal="left" vertical="top" wrapText="1"/>
    </xf>
    <xf numFmtId="164" fontId="6" fillId="0" borderId="0" xfId="0" applyNumberFormat="1" applyFont="1" applyAlignment="1">
      <alignment horizontal="left" vertical="top" wrapText="1"/>
    </xf>
    <xf numFmtId="0" fontId="7" fillId="2" borderId="12" xfId="0" applyFont="1" applyFill="1" applyBorder="1" applyAlignment="1">
      <alignment horizontal="left" vertical="top" wrapText="1"/>
    </xf>
    <xf numFmtId="0" fontId="7" fillId="5" borderId="0" xfId="0" applyFont="1" applyFill="1" applyAlignment="1">
      <alignment horizontal="left" vertical="top" wrapText="1"/>
    </xf>
    <xf numFmtId="0" fontId="7" fillId="12" borderId="0" xfId="0" applyFont="1" applyFill="1" applyAlignment="1">
      <alignment horizontal="left" vertical="top" wrapText="1"/>
    </xf>
    <xf numFmtId="0" fontId="7" fillId="15" borderId="5" xfId="0" applyFont="1" applyFill="1" applyBorder="1" applyAlignment="1">
      <alignment horizontal="center" vertical="center" wrapText="1"/>
    </xf>
    <xf numFmtId="0" fontId="7" fillId="17" borderId="5" xfId="0" applyFont="1" applyFill="1" applyBorder="1" applyAlignment="1">
      <alignment horizontal="center" vertical="center" wrapText="1"/>
    </xf>
    <xf numFmtId="0" fontId="7" fillId="11" borderId="5" xfId="0" applyFont="1" applyFill="1" applyBorder="1" applyAlignment="1">
      <alignment horizontal="center" vertical="center" wrapText="1"/>
    </xf>
    <xf numFmtId="0" fontId="14" fillId="4" borderId="17" xfId="0" applyFont="1" applyFill="1" applyBorder="1" applyAlignment="1">
      <alignment horizontal="center" vertical="center" wrapText="1"/>
    </xf>
    <xf numFmtId="0" fontId="14" fillId="4" borderId="18" xfId="0" applyFont="1" applyFill="1" applyBorder="1" applyAlignment="1">
      <alignment horizontal="center" vertical="center" wrapText="1"/>
    </xf>
    <xf numFmtId="0" fontId="14" fillId="4" borderId="19"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0" borderId="20"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21" xfId="0" applyFont="1" applyBorder="1" applyAlignment="1">
      <alignment horizontal="center" vertical="center" wrapText="1"/>
    </xf>
    <xf numFmtId="0" fontId="5" fillId="0" borderId="8" xfId="0" applyFont="1" applyBorder="1" applyAlignment="1">
      <alignment horizontal="center" vertical="center" wrapText="1"/>
    </xf>
    <xf numFmtId="43" fontId="6" fillId="0" borderId="2" xfId="1" applyFont="1" applyBorder="1" applyAlignment="1">
      <alignment horizontal="left" vertical="top" wrapText="1"/>
    </xf>
    <xf numFmtId="43" fontId="6" fillId="0" borderId="7" xfId="1" applyFont="1" applyBorder="1" applyAlignment="1">
      <alignment horizontal="left" vertical="top" wrapText="1"/>
    </xf>
    <xf numFmtId="0" fontId="6" fillId="2" borderId="12" xfId="0" applyFont="1" applyFill="1" applyBorder="1" applyAlignment="1">
      <alignment horizontal="center" vertical="center" wrapText="1"/>
    </xf>
    <xf numFmtId="0" fontId="6" fillId="0" borderId="22" xfId="0" applyFont="1" applyBorder="1" applyAlignment="1">
      <alignment horizontal="center" vertical="center" wrapText="1"/>
    </xf>
    <xf numFmtId="4" fontId="6" fillId="0" borderId="23" xfId="0" applyNumberFormat="1" applyFont="1" applyBorder="1" applyAlignment="1">
      <alignment horizontal="center" vertical="center" wrapText="1"/>
    </xf>
    <xf numFmtId="10" fontId="6" fillId="0" borderId="24" xfId="2" applyNumberFormat="1" applyFont="1" applyBorder="1" applyAlignment="1">
      <alignment horizontal="center" vertical="center" wrapText="1"/>
    </xf>
    <xf numFmtId="4" fontId="6" fillId="0" borderId="24" xfId="0" applyNumberFormat="1" applyFont="1" applyBorder="1" applyAlignment="1">
      <alignment horizontal="center" vertical="center" wrapText="1"/>
    </xf>
    <xf numFmtId="9" fontId="6" fillId="0" borderId="24" xfId="2" applyFont="1" applyBorder="1" applyAlignment="1">
      <alignment horizontal="center" vertical="center" wrapText="1"/>
    </xf>
    <xf numFmtId="10" fontId="6" fillId="0" borderId="25" xfId="2" applyNumberFormat="1" applyFont="1" applyBorder="1" applyAlignment="1">
      <alignment horizontal="center" vertical="center" wrapText="1"/>
    </xf>
    <xf numFmtId="4" fontId="6" fillId="0" borderId="25" xfId="0" applyNumberFormat="1" applyFont="1" applyBorder="1" applyAlignment="1">
      <alignment horizontal="center" vertical="center" wrapText="1"/>
    </xf>
    <xf numFmtId="2" fontId="9" fillId="0" borderId="26" xfId="0" applyNumberFormat="1" applyFont="1" applyBorder="1" applyAlignment="1">
      <alignment horizontal="center" vertical="center" wrapText="1"/>
    </xf>
    <xf numFmtId="4" fontId="6" fillId="0" borderId="27" xfId="0" applyNumberFormat="1" applyFont="1" applyBorder="1" applyAlignment="1">
      <alignment horizontal="center" vertical="center" wrapText="1"/>
    </xf>
    <xf numFmtId="4" fontId="6" fillId="0" borderId="28" xfId="0" applyNumberFormat="1" applyFont="1" applyBorder="1" applyAlignment="1">
      <alignment horizontal="center" vertical="center" wrapText="1"/>
    </xf>
    <xf numFmtId="4" fontId="15" fillId="0" borderId="28" xfId="0" applyNumberFormat="1" applyFont="1" applyBorder="1" applyAlignment="1">
      <alignment horizontal="center" vertical="center" wrapText="1"/>
    </xf>
    <xf numFmtId="4" fontId="15" fillId="0" borderId="29" xfId="0" applyNumberFormat="1" applyFont="1" applyBorder="1" applyAlignment="1">
      <alignment horizontal="center" vertical="center" wrapText="1"/>
    </xf>
    <xf numFmtId="43" fontId="18" fillId="0" borderId="4" xfId="1" applyFont="1" applyBorder="1" applyAlignment="1">
      <alignment horizontal="center" vertical="center" shrinkToFit="1"/>
    </xf>
    <xf numFmtId="0" fontId="6" fillId="0" borderId="0" xfId="0" applyFont="1" applyAlignment="1">
      <alignment horizontal="center" vertical="center"/>
    </xf>
    <xf numFmtId="4" fontId="6" fillId="0" borderId="0" xfId="0" applyNumberFormat="1" applyFont="1" applyAlignment="1">
      <alignment horizontal="center" vertical="center" wrapText="1"/>
    </xf>
    <xf numFmtId="10" fontId="6" fillId="0" borderId="0" xfId="2" applyNumberFormat="1" applyFont="1" applyAlignment="1">
      <alignment horizontal="center" vertical="center" wrapText="1"/>
    </xf>
    <xf numFmtId="0" fontId="0" fillId="0" borderId="0" xfId="0" applyAlignment="1">
      <alignment horizontal="left" vertical="top" wrapText="1"/>
    </xf>
    <xf numFmtId="0" fontId="6" fillId="0" borderId="2" xfId="0" applyFont="1" applyBorder="1" applyAlignment="1">
      <alignment horizontal="center" vertical="center" wrapText="1"/>
    </xf>
    <xf numFmtId="0" fontId="22" fillId="0" borderId="0" xfId="0" applyFont="1" applyAlignment="1">
      <alignment horizontal="left" vertical="center" wrapText="1"/>
    </xf>
    <xf numFmtId="0" fontId="15" fillId="0" borderId="3" xfId="0" applyFont="1" applyBorder="1" applyAlignment="1">
      <alignment horizontal="left" vertical="top" wrapText="1"/>
    </xf>
    <xf numFmtId="0" fontId="19" fillId="0" borderId="8" xfId="0" applyFont="1" applyBorder="1" applyAlignment="1">
      <alignment horizontal="center" vertical="center" wrapText="1"/>
    </xf>
    <xf numFmtId="2" fontId="9" fillId="0" borderId="0" xfId="0" applyNumberFormat="1" applyFont="1" applyAlignment="1">
      <alignment horizontal="center" vertical="center" wrapText="1"/>
    </xf>
    <xf numFmtId="4" fontId="11" fillId="0" borderId="0" xfId="0" applyNumberFormat="1" applyFont="1" applyAlignment="1">
      <alignment horizontal="center" vertical="center" wrapText="1"/>
    </xf>
    <xf numFmtId="43" fontId="18" fillId="0" borderId="0" xfId="1" applyFont="1" applyBorder="1" applyAlignment="1">
      <alignment horizontal="center" vertical="center" shrinkToFit="1"/>
    </xf>
    <xf numFmtId="4" fontId="15" fillId="0" borderId="0" xfId="0" applyNumberFormat="1" applyFont="1" applyAlignment="1">
      <alignment horizontal="center" vertical="center" wrapText="1"/>
    </xf>
    <xf numFmtId="0" fontId="27" fillId="2" borderId="12" xfId="0" applyFont="1" applyFill="1" applyBorder="1" applyAlignment="1">
      <alignment horizontal="center" vertical="center" wrapText="1"/>
    </xf>
    <xf numFmtId="0" fontId="27" fillId="0" borderId="12" xfId="0" applyFont="1" applyBorder="1" applyAlignment="1">
      <alignment horizontal="left" vertical="top" wrapText="1"/>
    </xf>
    <xf numFmtId="0" fontId="27" fillId="0" borderId="0" xfId="0" applyFont="1" applyAlignment="1">
      <alignment horizontal="left" vertical="top" wrapText="1"/>
    </xf>
    <xf numFmtId="0" fontId="27" fillId="0" borderId="0" xfId="0" applyFont="1" applyAlignment="1">
      <alignment horizontal="left" vertical="top"/>
    </xf>
    <xf numFmtId="43" fontId="6" fillId="0" borderId="0" xfId="0" applyNumberFormat="1" applyFont="1" applyAlignment="1">
      <alignment horizontal="left" vertical="top"/>
    </xf>
    <xf numFmtId="165" fontId="23" fillId="0" borderId="0" xfId="0" applyNumberFormat="1" applyFont="1" applyAlignment="1">
      <alignment horizontal="center" vertical="center"/>
    </xf>
    <xf numFmtId="164" fontId="6" fillId="0" borderId="1" xfId="1" applyNumberFormat="1" applyFont="1" applyBorder="1" applyAlignment="1">
      <alignment horizontal="center" vertical="center" shrinkToFit="1"/>
    </xf>
    <xf numFmtId="164" fontId="6" fillId="0" borderId="6" xfId="1" applyNumberFormat="1" applyFont="1" applyBorder="1" applyAlignment="1">
      <alignment horizontal="center" vertical="center" shrinkToFit="1"/>
    </xf>
    <xf numFmtId="164" fontId="6" fillId="0" borderId="37" xfId="1" applyNumberFormat="1" applyFont="1" applyBorder="1" applyAlignment="1">
      <alignment horizontal="center" vertical="center" shrinkToFit="1"/>
    </xf>
    <xf numFmtId="164" fontId="6" fillId="0" borderId="38" xfId="1" applyNumberFormat="1" applyFont="1" applyBorder="1" applyAlignment="1">
      <alignment horizontal="center" vertical="center" shrinkToFit="1"/>
    </xf>
    <xf numFmtId="0" fontId="5" fillId="0" borderId="39" xfId="0" applyFont="1" applyBorder="1" applyAlignment="1">
      <alignment horizontal="center" vertical="center" wrapText="1"/>
    </xf>
    <xf numFmtId="0" fontId="15" fillId="0" borderId="40" xfId="0" applyFont="1" applyBorder="1" applyAlignment="1">
      <alignment horizontal="left" vertical="top" wrapText="1"/>
    </xf>
    <xf numFmtId="0" fontId="6" fillId="0" borderId="37" xfId="0" applyFont="1" applyBorder="1" applyAlignment="1">
      <alignment horizontal="center" vertical="center" wrapText="1"/>
    </xf>
    <xf numFmtId="43" fontId="27" fillId="2" borderId="12" xfId="0" applyNumberFormat="1" applyFont="1" applyFill="1" applyBorder="1" applyAlignment="1">
      <alignment horizontal="center" vertical="center" wrapText="1"/>
    </xf>
    <xf numFmtId="43" fontId="8" fillId="2" borderId="12" xfId="0" applyNumberFormat="1" applyFont="1" applyFill="1" applyBorder="1" applyAlignment="1">
      <alignment horizontal="center" vertical="center" wrapText="1"/>
    </xf>
    <xf numFmtId="0" fontId="31" fillId="2" borderId="12" xfId="0" applyFont="1" applyFill="1" applyBorder="1" applyAlignment="1">
      <alignment horizontal="left" vertical="top" wrapText="1"/>
    </xf>
    <xf numFmtId="0" fontId="35" fillId="0" borderId="0" xfId="0" applyFont="1" applyAlignment="1">
      <alignment vertical="top" wrapText="1"/>
    </xf>
    <xf numFmtId="0" fontId="38" fillId="0" borderId="0" xfId="0" applyFont="1" applyAlignment="1">
      <alignment horizontal="center" vertical="center" wrapText="1"/>
    </xf>
    <xf numFmtId="0" fontId="39" fillId="0" borderId="0" xfId="0" applyFont="1" applyAlignment="1">
      <alignment horizontal="center" vertical="center" wrapText="1"/>
    </xf>
    <xf numFmtId="0" fontId="40" fillId="0" borderId="5" xfId="3" applyFont="1" applyBorder="1" applyAlignment="1" applyProtection="1">
      <alignment vertical="top" wrapText="1"/>
    </xf>
    <xf numFmtId="0" fontId="43" fillId="0" borderId="0" xfId="0" applyFont="1" applyAlignment="1">
      <alignment horizontal="center" vertical="center" wrapText="1"/>
    </xf>
    <xf numFmtId="165" fontId="18" fillId="0" borderId="4" xfId="1" applyNumberFormat="1" applyFont="1" applyBorder="1" applyAlignment="1">
      <alignment horizontal="center" vertical="center" shrinkToFit="1"/>
    </xf>
    <xf numFmtId="165" fontId="46" fillId="0" borderId="41" xfId="1" applyNumberFormat="1" applyFont="1" applyBorder="1" applyAlignment="1">
      <alignment vertical="center" shrinkToFit="1"/>
    </xf>
    <xf numFmtId="165" fontId="47" fillId="23" borderId="41" xfId="1" applyNumberFormat="1" applyFont="1" applyFill="1" applyBorder="1" applyAlignment="1">
      <alignment vertical="center" shrinkToFit="1"/>
    </xf>
    <xf numFmtId="0" fontId="37" fillId="4" borderId="42" xfId="0" applyFont="1" applyFill="1" applyBorder="1" applyAlignment="1">
      <alignment horizontal="center" vertical="center" wrapText="1"/>
    </xf>
    <xf numFmtId="0" fontId="37" fillId="4" borderId="43" xfId="0" applyFont="1" applyFill="1" applyBorder="1" applyAlignment="1">
      <alignment horizontal="center" vertical="center" wrapText="1"/>
    </xf>
    <xf numFmtId="0" fontId="37" fillId="4" borderId="44" xfId="0" applyFont="1" applyFill="1" applyBorder="1" applyAlignment="1">
      <alignment horizontal="center" vertical="center" wrapText="1"/>
    </xf>
    <xf numFmtId="0" fontId="37" fillId="4" borderId="45" xfId="0" applyFont="1" applyFill="1" applyBorder="1" applyAlignment="1">
      <alignment horizontal="center" vertical="center" wrapText="1"/>
    </xf>
    <xf numFmtId="0" fontId="16" fillId="22" borderId="49" xfId="0" applyFont="1" applyFill="1" applyBorder="1" applyAlignment="1">
      <alignment horizontal="center" vertical="center" wrapText="1"/>
    </xf>
    <xf numFmtId="165" fontId="48" fillId="2" borderId="50" xfId="1" applyNumberFormat="1" applyFont="1" applyFill="1" applyBorder="1" applyAlignment="1">
      <alignment vertical="center" shrinkToFit="1"/>
    </xf>
    <xf numFmtId="1" fontId="38" fillId="0" borderId="41" xfId="0" applyNumberFormat="1" applyFont="1" applyBorder="1" applyAlignment="1">
      <alignment horizontal="center" vertical="center" wrapText="1"/>
    </xf>
    <xf numFmtId="0" fontId="38" fillId="0" borderId="41" xfId="0" applyFont="1" applyBorder="1" applyAlignment="1">
      <alignment horizontal="center" vertical="center" wrapText="1"/>
    </xf>
    <xf numFmtId="0" fontId="8" fillId="0" borderId="41" xfId="0" applyFont="1" applyBorder="1" applyAlignment="1">
      <alignment horizontal="left" vertical="top" wrapText="1"/>
    </xf>
    <xf numFmtId="0" fontId="38" fillId="0" borderId="41" xfId="0" applyFont="1" applyBorder="1" applyAlignment="1">
      <alignment horizontal="center" vertical="center"/>
    </xf>
    <xf numFmtId="0" fontId="38" fillId="0" borderId="41" xfId="0" applyFont="1" applyBorder="1" applyAlignment="1">
      <alignment horizontal="left" vertical="top" wrapText="1"/>
    </xf>
    <xf numFmtId="0" fontId="21" fillId="0" borderId="41" xfId="0" applyFont="1" applyBorder="1" applyAlignment="1">
      <alignment horizontal="left" vertical="top" wrapText="1"/>
    </xf>
    <xf numFmtId="0" fontId="18" fillId="0" borderId="41" xfId="0" applyFont="1" applyBorder="1" applyAlignment="1">
      <alignment horizontal="center" vertical="center" wrapText="1"/>
    </xf>
    <xf numFmtId="165" fontId="8" fillId="4" borderId="41" xfId="1" applyNumberFormat="1" applyFont="1" applyFill="1" applyBorder="1" applyAlignment="1">
      <alignment horizontal="center" vertical="center" shrinkToFit="1"/>
    </xf>
    <xf numFmtId="43" fontId="8" fillId="0" borderId="41" xfId="1" applyFont="1" applyBorder="1" applyAlignment="1">
      <alignment horizontal="center" vertical="center" shrinkToFit="1"/>
    </xf>
    <xf numFmtId="0" fontId="16" fillId="2" borderId="41" xfId="0" applyFont="1" applyFill="1" applyBorder="1" applyAlignment="1">
      <alignment horizontal="right" vertical="center" wrapText="1"/>
    </xf>
    <xf numFmtId="165" fontId="16" fillId="2" borderId="41" xfId="0" applyNumberFormat="1" applyFont="1" applyFill="1" applyBorder="1" applyAlignment="1">
      <alignment horizontal="right" vertical="center" wrapText="1"/>
    </xf>
    <xf numFmtId="0" fontId="24" fillId="2" borderId="41" xfId="0" applyFont="1" applyFill="1" applyBorder="1" applyAlignment="1">
      <alignment horizontal="right" vertical="center" wrapText="1"/>
    </xf>
    <xf numFmtId="165" fontId="25" fillId="2" borderId="41" xfId="0" applyNumberFormat="1" applyFont="1" applyFill="1" applyBorder="1" applyAlignment="1">
      <alignment horizontal="right" vertical="center" wrapText="1"/>
    </xf>
    <xf numFmtId="165" fontId="24" fillId="2" borderId="41" xfId="0" applyNumberFormat="1" applyFont="1" applyFill="1" applyBorder="1" applyAlignment="1">
      <alignment horizontal="right" vertical="center" wrapText="1"/>
    </xf>
    <xf numFmtId="0" fontId="24" fillId="2" borderId="41" xfId="0" applyFont="1" applyFill="1" applyBorder="1" applyAlignment="1">
      <alignment horizontal="center" vertical="center" wrapText="1"/>
    </xf>
    <xf numFmtId="0" fontId="30" fillId="0" borderId="42" xfId="0" applyFont="1" applyBorder="1" applyAlignment="1">
      <alignment horizontal="center" vertical="center" wrapText="1"/>
    </xf>
    <xf numFmtId="0" fontId="19" fillId="0" borderId="46" xfId="0" applyFont="1" applyBorder="1" applyAlignment="1">
      <alignment horizontal="center" vertical="center" wrapText="1"/>
    </xf>
    <xf numFmtId="0" fontId="16" fillId="0" borderId="49" xfId="0" applyFont="1" applyBorder="1" applyAlignment="1">
      <alignment horizontal="center" vertical="center" wrapText="1"/>
    </xf>
    <xf numFmtId="165" fontId="8" fillId="4" borderId="50" xfId="1" applyNumberFormat="1" applyFont="1" applyFill="1" applyBorder="1" applyAlignment="1">
      <alignment horizontal="center" vertical="center" shrinkToFit="1"/>
    </xf>
    <xf numFmtId="0" fontId="17" fillId="0" borderId="49" xfId="0" applyFont="1" applyBorder="1" applyAlignment="1">
      <alignment horizontal="center" vertical="center" wrapText="1"/>
    </xf>
    <xf numFmtId="165" fontId="19" fillId="2" borderId="50" xfId="0" applyNumberFormat="1" applyFont="1" applyFill="1" applyBorder="1" applyAlignment="1">
      <alignment horizontal="right" vertical="center" wrapText="1"/>
    </xf>
    <xf numFmtId="165" fontId="26" fillId="2" borderId="50" xfId="1" applyNumberFormat="1" applyFont="1" applyFill="1" applyBorder="1" applyAlignment="1">
      <alignment horizontal="center" vertical="center" shrinkToFit="1"/>
    </xf>
    <xf numFmtId="165" fontId="28" fillId="2" borderId="50" xfId="1" applyNumberFormat="1" applyFont="1" applyFill="1" applyBorder="1" applyAlignment="1">
      <alignment horizontal="center" vertical="center" shrinkToFit="1"/>
    </xf>
    <xf numFmtId="165" fontId="34" fillId="2" borderId="52" xfId="0" applyNumberFormat="1" applyFont="1" applyFill="1" applyBorder="1" applyAlignment="1">
      <alignment horizontal="right" vertical="center" wrapText="1"/>
    </xf>
    <xf numFmtId="0" fontId="34" fillId="2" borderId="52" xfId="0" applyFont="1" applyFill="1" applyBorder="1" applyAlignment="1">
      <alignment horizontal="right" vertical="center" wrapText="1"/>
    </xf>
    <xf numFmtId="165" fontId="32" fillId="2" borderId="53" xfId="1" applyNumberFormat="1" applyFont="1" applyFill="1" applyBorder="1" applyAlignment="1">
      <alignment horizontal="center" vertical="center" shrinkToFit="1"/>
    </xf>
    <xf numFmtId="0" fontId="43" fillId="0" borderId="0" xfId="0" applyFont="1" applyAlignment="1">
      <alignment horizontal="left" vertical="top" wrapText="1"/>
    </xf>
    <xf numFmtId="0" fontId="45" fillId="0" borderId="0" xfId="0" applyFont="1" applyAlignment="1">
      <alignment horizontal="center" vertical="center" wrapText="1"/>
    </xf>
    <xf numFmtId="0" fontId="45" fillId="0" borderId="5" xfId="0" applyFont="1" applyBorder="1" applyAlignment="1">
      <alignment horizontal="center" vertical="center" wrapText="1"/>
    </xf>
    <xf numFmtId="0" fontId="32" fillId="0" borderId="5" xfId="0" applyFont="1" applyBorder="1" applyAlignment="1">
      <alignment horizontal="left" vertical="top" wrapText="1"/>
    </xf>
    <xf numFmtId="0" fontId="45" fillId="0" borderId="0" xfId="4" applyFont="1" applyAlignment="1">
      <alignment horizontal="center" vertical="center" wrapText="1"/>
    </xf>
    <xf numFmtId="0" fontId="7" fillId="16" borderId="5" xfId="0" applyFont="1" applyFill="1" applyBorder="1" applyAlignment="1">
      <alignment horizontal="center" vertical="center" wrapText="1"/>
    </xf>
    <xf numFmtId="0" fontId="7" fillId="12" borderId="5" xfId="0" applyFont="1" applyFill="1" applyBorder="1" applyAlignment="1">
      <alignment horizontal="center" vertical="center" wrapText="1"/>
    </xf>
    <xf numFmtId="0" fontId="20" fillId="20" borderId="47" xfId="0" applyFont="1" applyFill="1" applyBorder="1" applyAlignment="1">
      <alignment horizontal="left" vertical="top" wrapText="1"/>
    </xf>
    <xf numFmtId="0" fontId="20" fillId="20" borderId="48" xfId="0" applyFont="1" applyFill="1" applyBorder="1" applyAlignment="1">
      <alignment horizontal="left" vertical="top" wrapText="1"/>
    </xf>
    <xf numFmtId="0" fontId="7" fillId="11" borderId="0" xfId="0" applyFont="1" applyFill="1" applyAlignment="1">
      <alignment horizontal="center" vertical="center" wrapText="1"/>
    </xf>
    <xf numFmtId="0" fontId="23" fillId="3" borderId="13" xfId="0" applyFont="1" applyFill="1" applyBorder="1" applyAlignment="1">
      <alignment horizontal="center" vertical="center" wrapText="1"/>
    </xf>
    <xf numFmtId="0" fontId="23" fillId="3" borderId="14" xfId="0" applyFont="1" applyFill="1" applyBorder="1" applyAlignment="1">
      <alignment horizontal="center" vertical="center"/>
    </xf>
    <xf numFmtId="0" fontId="23" fillId="3" borderId="11" xfId="0" applyFont="1" applyFill="1" applyBorder="1" applyAlignment="1">
      <alignment horizontal="center" vertical="center"/>
    </xf>
    <xf numFmtId="0" fontId="23" fillId="3" borderId="15" xfId="0" applyFont="1" applyFill="1" applyBorder="1" applyAlignment="1">
      <alignment horizontal="center" vertical="center"/>
    </xf>
    <xf numFmtId="0" fontId="23" fillId="3" borderId="5" xfId="0" applyFont="1" applyFill="1" applyBorder="1" applyAlignment="1">
      <alignment horizontal="center" vertical="center"/>
    </xf>
    <xf numFmtId="0" fontId="23" fillId="3" borderId="16" xfId="0" applyFont="1" applyFill="1" applyBorder="1" applyAlignment="1">
      <alignment horizontal="center" vertical="center"/>
    </xf>
    <xf numFmtId="0" fontId="7" fillId="5" borderId="0" xfId="0" applyFont="1" applyFill="1" applyAlignment="1">
      <alignment horizontal="center" vertical="center" wrapText="1"/>
    </xf>
    <xf numFmtId="0" fontId="7" fillId="6" borderId="0" xfId="0" applyFont="1" applyFill="1" applyAlignment="1">
      <alignment horizontal="center" vertical="center" wrapText="1"/>
    </xf>
    <xf numFmtId="0" fontId="7" fillId="7" borderId="0" xfId="0" applyFont="1" applyFill="1" applyAlignment="1">
      <alignment horizontal="center" vertical="center" wrapText="1"/>
    </xf>
    <xf numFmtId="0" fontId="7" fillId="8" borderId="0" xfId="0" applyFont="1" applyFill="1" applyAlignment="1">
      <alignment horizontal="center" vertical="center" wrapText="1"/>
    </xf>
    <xf numFmtId="0" fontId="7" fillId="9" borderId="0" xfId="0" applyFont="1" applyFill="1" applyAlignment="1">
      <alignment horizontal="center" vertical="center" wrapText="1"/>
    </xf>
    <xf numFmtId="0" fontId="7" fillId="10" borderId="0" xfId="0" applyFont="1" applyFill="1" applyAlignment="1">
      <alignment horizontal="center" vertical="center" wrapText="1"/>
    </xf>
    <xf numFmtId="0" fontId="7" fillId="13" borderId="5" xfId="0" applyFont="1" applyFill="1" applyBorder="1" applyAlignment="1">
      <alignment horizontal="center" vertical="center" wrapText="1"/>
    </xf>
    <xf numFmtId="0" fontId="7" fillId="14" borderId="5" xfId="0" applyFont="1" applyFill="1" applyBorder="1" applyAlignment="1">
      <alignment horizontal="center" vertical="center" wrapText="1"/>
    </xf>
    <xf numFmtId="43" fontId="23" fillId="0" borderId="0" xfId="0" applyNumberFormat="1" applyFont="1" applyAlignment="1">
      <alignment horizontal="center" vertical="center"/>
    </xf>
    <xf numFmtId="0" fontId="24" fillId="2" borderId="41" xfId="0" applyFont="1" applyFill="1" applyBorder="1" applyAlignment="1">
      <alignment horizontal="right" vertical="center" wrapText="1"/>
    </xf>
    <xf numFmtId="0" fontId="16" fillId="2" borderId="41" xfId="0" applyFont="1" applyFill="1" applyBorder="1" applyAlignment="1">
      <alignment horizontal="right" vertical="center" wrapText="1"/>
    </xf>
    <xf numFmtId="0" fontId="33" fillId="2" borderId="52" xfId="0" applyFont="1" applyFill="1" applyBorder="1" applyAlignment="1">
      <alignment horizontal="right" vertical="center" wrapText="1"/>
    </xf>
    <xf numFmtId="0" fontId="8" fillId="4" borderId="41" xfId="0" applyFont="1" applyFill="1" applyBorder="1" applyAlignment="1">
      <alignment horizontal="center" vertical="center" wrapText="1"/>
    </xf>
    <xf numFmtId="0" fontId="29" fillId="0" borderId="43" xfId="0" applyFont="1" applyBorder="1" applyAlignment="1">
      <alignment horizontal="left" vertical="top" wrapText="1"/>
    </xf>
    <xf numFmtId="0" fontId="29" fillId="0" borderId="45" xfId="0" applyFont="1" applyBorder="1" applyAlignment="1">
      <alignment horizontal="left" vertical="top" wrapText="1"/>
    </xf>
    <xf numFmtId="0" fontId="42" fillId="0" borderId="9" xfId="0" applyFont="1" applyBorder="1" applyAlignment="1">
      <alignment horizontal="left" vertical="center" wrapText="1"/>
    </xf>
    <xf numFmtId="0" fontId="42" fillId="0" borderId="0" xfId="0" applyFont="1" applyAlignment="1">
      <alignment horizontal="left" vertical="center" wrapText="1"/>
    </xf>
    <xf numFmtId="0" fontId="50" fillId="0" borderId="9" xfId="0" applyFont="1" applyBorder="1" applyAlignment="1">
      <alignment horizontal="left" vertical="center" wrapText="1"/>
    </xf>
    <xf numFmtId="0" fontId="50" fillId="0" borderId="0" xfId="0" applyFont="1" applyAlignment="1">
      <alignment horizontal="left" vertical="center" wrapText="1"/>
    </xf>
    <xf numFmtId="0" fontId="50" fillId="0" borderId="12" xfId="0" applyFont="1" applyBorder="1" applyAlignment="1">
      <alignment horizontal="left" vertical="center" wrapText="1"/>
    </xf>
    <xf numFmtId="0" fontId="49" fillId="2" borderId="13" xfId="0" applyFont="1" applyFill="1" applyBorder="1" applyAlignment="1">
      <alignment horizontal="left" vertical="top" wrapText="1"/>
    </xf>
    <xf numFmtId="0" fontId="49" fillId="2" borderId="14" xfId="0" applyFont="1" applyFill="1" applyBorder="1" applyAlignment="1">
      <alignment horizontal="left" vertical="top" wrapText="1"/>
    </xf>
    <xf numFmtId="0" fontId="49" fillId="2" borderId="11" xfId="0" applyFont="1" applyFill="1" applyBorder="1" applyAlignment="1">
      <alignment horizontal="left" vertical="top" wrapText="1"/>
    </xf>
    <xf numFmtId="0" fontId="16" fillId="21" borderId="9" xfId="0" applyFont="1" applyFill="1" applyBorder="1" applyAlignment="1">
      <alignment horizontal="left" vertical="center" wrapText="1"/>
    </xf>
    <xf numFmtId="0" fontId="16" fillId="21" borderId="0" xfId="0" applyFont="1" applyFill="1" applyAlignment="1">
      <alignment horizontal="left" vertical="center" wrapText="1"/>
    </xf>
    <xf numFmtId="0" fontId="16" fillId="21" borderId="12" xfId="0" applyFont="1" applyFill="1" applyBorder="1" applyAlignment="1">
      <alignment horizontal="left" vertical="center" wrapText="1"/>
    </xf>
    <xf numFmtId="0" fontId="43" fillId="19" borderId="21" xfId="0" applyFont="1" applyFill="1" applyBorder="1" applyAlignment="1">
      <alignment horizontal="center" vertical="top" wrapText="1"/>
    </xf>
    <xf numFmtId="0" fontId="44" fillId="19" borderId="30" xfId="0" applyFont="1" applyFill="1" applyBorder="1" applyAlignment="1">
      <alignment horizontal="center" vertical="top" wrapText="1"/>
    </xf>
    <xf numFmtId="0" fontId="44" fillId="19" borderId="5" xfId="0" applyFont="1" applyFill="1" applyBorder="1" applyAlignment="1">
      <alignment horizontal="center" vertical="top" wrapText="1"/>
    </xf>
    <xf numFmtId="0" fontId="44" fillId="19" borderId="20" xfId="0" applyFont="1" applyFill="1" applyBorder="1" applyAlignment="1">
      <alignment horizontal="center" vertical="top" wrapText="1"/>
    </xf>
    <xf numFmtId="0" fontId="49" fillId="2" borderId="9" xfId="0" applyFont="1" applyFill="1" applyBorder="1" applyAlignment="1">
      <alignment horizontal="left" vertical="top" wrapText="1"/>
    </xf>
    <xf numFmtId="0" fontId="49" fillId="2" borderId="0" xfId="0" applyFont="1" applyFill="1" applyAlignment="1">
      <alignment horizontal="left" vertical="top" wrapText="1"/>
    </xf>
    <xf numFmtId="0" fontId="49" fillId="2" borderId="12" xfId="0" applyFont="1" applyFill="1" applyBorder="1" applyAlignment="1">
      <alignment horizontal="left" vertical="top" wrapText="1"/>
    </xf>
    <xf numFmtId="0" fontId="41" fillId="2" borderId="9" xfId="0" applyFont="1" applyFill="1" applyBorder="1" applyAlignment="1">
      <alignment horizontal="left" vertical="center" wrapText="1"/>
    </xf>
    <xf numFmtId="0" fontId="41" fillId="2" borderId="0" xfId="0" applyFont="1" applyFill="1" applyAlignment="1">
      <alignment horizontal="left" vertical="center" wrapText="1"/>
    </xf>
    <xf numFmtId="0" fontId="16" fillId="0" borderId="9" xfId="0" applyFont="1" applyBorder="1" applyAlignment="1">
      <alignment horizontal="left" vertical="center" wrapText="1"/>
    </xf>
    <xf numFmtId="0" fontId="16" fillId="0" borderId="0" xfId="0" applyFont="1" applyAlignment="1">
      <alignment horizontal="left" vertical="center" wrapText="1"/>
    </xf>
    <xf numFmtId="0" fontId="16" fillId="0" borderId="12" xfId="0" applyFont="1" applyBorder="1" applyAlignment="1">
      <alignment horizontal="left" vertical="center" wrapText="1"/>
    </xf>
    <xf numFmtId="0" fontId="40" fillId="0" borderId="15" xfId="3" applyFont="1" applyBorder="1" applyAlignment="1" applyProtection="1">
      <alignment horizontal="left" vertical="top" wrapText="1"/>
    </xf>
    <xf numFmtId="0" fontId="40" fillId="0" borderId="5" xfId="3" applyFont="1" applyBorder="1" applyAlignment="1" applyProtection="1">
      <alignment horizontal="left" vertical="top" wrapText="1"/>
    </xf>
    <xf numFmtId="0" fontId="40" fillId="0" borderId="16" xfId="3" applyFont="1" applyBorder="1" applyAlignment="1" applyProtection="1">
      <alignment horizontal="left" vertical="top" wrapText="1"/>
    </xf>
    <xf numFmtId="0" fontId="35" fillId="18" borderId="9" xfId="0" applyFont="1" applyFill="1" applyBorder="1" applyAlignment="1">
      <alignment horizontal="left" vertical="top" wrapText="1"/>
    </xf>
    <xf numFmtId="0" fontId="35" fillId="18" borderId="0" xfId="0" applyFont="1" applyFill="1" applyAlignment="1">
      <alignment horizontal="left" vertical="top" wrapText="1"/>
    </xf>
    <xf numFmtId="0" fontId="36" fillId="18" borderId="0" xfId="0" applyFont="1" applyFill="1" applyAlignment="1">
      <alignment horizontal="left" vertical="top" wrapText="1"/>
    </xf>
    <xf numFmtId="0" fontId="36" fillId="18" borderId="12" xfId="0" applyFont="1" applyFill="1" applyBorder="1" applyAlignment="1">
      <alignment horizontal="left" vertical="top" wrapText="1"/>
    </xf>
    <xf numFmtId="0" fontId="37" fillId="0" borderId="9" xfId="0" applyFont="1" applyBorder="1" applyAlignment="1">
      <alignment horizontal="left" vertical="top" wrapText="1"/>
    </xf>
    <xf numFmtId="0" fontId="37" fillId="0" borderId="0" xfId="0" applyFont="1" applyAlignment="1">
      <alignment horizontal="left" vertical="top" wrapText="1"/>
    </xf>
    <xf numFmtId="0" fontId="37" fillId="0" borderId="12" xfId="0" applyFont="1" applyBorder="1" applyAlignment="1">
      <alignment horizontal="left" vertical="top" wrapText="1"/>
    </xf>
    <xf numFmtId="0" fontId="36" fillId="0" borderId="9" xfId="0" applyFont="1" applyBorder="1" applyAlignment="1">
      <alignment horizontal="left" vertical="top" wrapText="1"/>
    </xf>
    <xf numFmtId="0" fontId="36" fillId="0" borderId="0" xfId="0" applyFont="1" applyAlignment="1">
      <alignment horizontal="left" vertical="top" wrapText="1"/>
    </xf>
    <xf numFmtId="0" fontId="36" fillId="0" borderId="12" xfId="0" applyFont="1" applyBorder="1" applyAlignment="1">
      <alignment horizontal="left" vertical="top" wrapText="1"/>
    </xf>
    <xf numFmtId="0" fontId="37" fillId="0" borderId="9" xfId="0" quotePrefix="1" applyFont="1" applyBorder="1" applyAlignment="1">
      <alignment horizontal="left" vertical="top" wrapText="1"/>
    </xf>
    <xf numFmtId="0" fontId="37" fillId="0" borderId="0" xfId="0" quotePrefix="1" applyFont="1" applyAlignment="1">
      <alignment horizontal="left" vertical="top" wrapText="1"/>
    </xf>
    <xf numFmtId="0" fontId="37" fillId="0" borderId="12" xfId="0" quotePrefix="1" applyFont="1" applyBorder="1" applyAlignment="1">
      <alignment horizontal="left" vertical="top" wrapText="1"/>
    </xf>
    <xf numFmtId="0" fontId="16" fillId="21" borderId="9" xfId="0" applyFont="1" applyFill="1" applyBorder="1" applyAlignment="1">
      <alignment horizontal="left" vertical="top" wrapText="1"/>
    </xf>
    <xf numFmtId="0" fontId="16" fillId="21" borderId="0" xfId="0" applyFont="1" applyFill="1" applyAlignment="1">
      <alignment horizontal="left" vertical="top" wrapText="1"/>
    </xf>
    <xf numFmtId="0" fontId="16" fillId="21" borderId="12" xfId="0" applyFont="1" applyFill="1" applyBorder="1" applyAlignment="1">
      <alignment horizontal="left" vertical="top" wrapText="1"/>
    </xf>
    <xf numFmtId="0" fontId="6" fillId="0" borderId="0" xfId="0" applyFont="1" applyAlignment="1">
      <alignment horizontal="right" vertical="top"/>
    </xf>
    <xf numFmtId="0" fontId="31" fillId="21" borderId="49" xfId="0" applyFont="1" applyFill="1" applyBorder="1" applyAlignment="1">
      <alignment horizontal="left" vertical="top" wrapText="1"/>
    </xf>
    <xf numFmtId="0" fontId="31" fillId="21" borderId="41" xfId="0" applyFont="1" applyFill="1" applyBorder="1" applyAlignment="1">
      <alignment horizontal="left" vertical="top" wrapText="1"/>
    </xf>
    <xf numFmtId="0" fontId="31" fillId="21" borderId="51" xfId="0" applyFont="1" applyFill="1" applyBorder="1" applyAlignment="1">
      <alignment horizontal="left" vertical="top" wrapText="1"/>
    </xf>
    <xf numFmtId="0" fontId="31" fillId="21" borderId="52" xfId="0" applyFont="1" applyFill="1" applyBorder="1" applyAlignment="1">
      <alignment horizontal="left" vertical="top" wrapText="1"/>
    </xf>
    <xf numFmtId="0" fontId="20" fillId="20" borderId="31" xfId="0" applyFont="1" applyFill="1" applyBorder="1" applyAlignment="1">
      <alignment horizontal="left" vertical="top" wrapText="1"/>
    </xf>
    <xf numFmtId="0" fontId="20" fillId="20" borderId="35" xfId="0" applyFont="1" applyFill="1" applyBorder="1" applyAlignment="1">
      <alignment horizontal="left" vertical="top" wrapText="1"/>
    </xf>
    <xf numFmtId="0" fontId="20" fillId="20" borderId="36" xfId="0" applyFont="1" applyFill="1" applyBorder="1" applyAlignment="1">
      <alignment horizontal="left" vertical="top" wrapText="1"/>
    </xf>
    <xf numFmtId="0" fontId="20" fillId="20" borderId="32" xfId="0" applyFont="1" applyFill="1" applyBorder="1" applyAlignment="1">
      <alignment horizontal="left" vertical="top" wrapText="1"/>
    </xf>
    <xf numFmtId="0" fontId="20" fillId="20" borderId="33" xfId="0" applyFont="1" applyFill="1" applyBorder="1" applyAlignment="1">
      <alignment horizontal="left" vertical="top" wrapText="1"/>
    </xf>
    <xf numFmtId="0" fontId="20" fillId="20" borderId="34" xfId="0" applyFont="1" applyFill="1" applyBorder="1" applyAlignment="1">
      <alignment horizontal="left" vertical="top" wrapText="1"/>
    </xf>
    <xf numFmtId="0" fontId="53" fillId="0" borderId="41" xfId="0" applyFont="1" applyBorder="1" applyAlignment="1">
      <alignment horizontal="left" vertical="top" wrapText="1"/>
    </xf>
    <xf numFmtId="0" fontId="38" fillId="0" borderId="54" xfId="0" applyFont="1" applyBorder="1" applyAlignment="1">
      <alignment horizontal="center" vertical="center"/>
    </xf>
    <xf numFmtId="0" fontId="38" fillId="0" borderId="55" xfId="0" applyFont="1" applyBorder="1" applyAlignment="1">
      <alignment horizontal="center" vertical="center"/>
    </xf>
    <xf numFmtId="166" fontId="46" fillId="0" borderId="41" xfId="5" applyNumberFormat="1" applyFont="1" applyBorder="1" applyAlignment="1">
      <alignment vertical="center" shrinkToFit="1"/>
    </xf>
    <xf numFmtId="0" fontId="31" fillId="2" borderId="12" xfId="0" applyFont="1" applyFill="1" applyBorder="1" applyAlignment="1">
      <alignment horizontal="left" vertical="center" wrapText="1"/>
    </xf>
    <xf numFmtId="4" fontId="11" fillId="0" borderId="56" xfId="0" applyNumberFormat="1" applyFont="1" applyBorder="1" applyAlignment="1">
      <alignment horizontal="center" vertical="center" wrapText="1"/>
    </xf>
    <xf numFmtId="4" fontId="11" fillId="0" borderId="57" xfId="0" applyNumberFormat="1" applyFont="1" applyBorder="1" applyAlignment="1">
      <alignment horizontal="center" vertical="center" wrapText="1"/>
    </xf>
    <xf numFmtId="0" fontId="55" fillId="0" borderId="41" xfId="0" applyFont="1" applyBorder="1" applyAlignment="1">
      <alignment horizontal="left" vertical="top" wrapText="1"/>
    </xf>
    <xf numFmtId="167" fontId="58" fillId="24" borderId="58" xfId="6" applyNumberFormat="1" applyFont="1" applyFill="1" applyBorder="1" applyAlignment="1">
      <alignment horizontal="center" vertical="center"/>
    </xf>
  </cellXfs>
  <cellStyles count="7">
    <cellStyle name="Comma" xfId="1" builtinId="3"/>
    <cellStyle name="Currency" xfId="5" builtinId="4"/>
    <cellStyle name="Hyperlink" xfId="3" builtinId="8"/>
    <cellStyle name="Normal" xfId="0" builtinId="0"/>
    <cellStyle name="Normal 2" xfId="4"/>
    <cellStyle name="Normal 3" xfId="6"/>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2.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m.huzefa@mytecheng.com" TargetMode="External"/><Relationship Id="rId1" Type="http://schemas.openxmlformats.org/officeDocument/2006/relationships/hyperlink" Target="mailto:munawar.hasan@mytecheng.com" TargetMode="External"/><Relationship Id="rId6" Type="http://schemas.openxmlformats.org/officeDocument/2006/relationships/comments" Target="../comments1.xml"/><Relationship Id="rId5" Type="http://schemas.openxmlformats.org/officeDocument/2006/relationships/vmlDrawing" Target="../drawings/vmlDrawing2.v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U78"/>
  <sheetViews>
    <sheetView tabSelected="1" view="pageBreakPreview" topLeftCell="A9" zoomScale="21" zoomScaleNormal="70" zoomScaleSheetLayoutView="70" zoomScalePageLayoutView="70" workbookViewId="0">
      <selection activeCell="O52" sqref="O52"/>
    </sheetView>
  </sheetViews>
  <sheetFormatPr defaultColWidth="9.296875" defaultRowHeight="12.5" x14ac:dyDescent="0.3"/>
  <cols>
    <col min="1" max="1" width="10.796875" style="39" customWidth="1"/>
    <col min="2" max="2" width="111" style="4" customWidth="1"/>
    <col min="3" max="3" width="8.3984375" style="4" customWidth="1"/>
    <col min="4" max="4" width="14.09765625" style="4" customWidth="1"/>
    <col min="5" max="5" width="21.5" style="4" customWidth="1"/>
    <col min="6" max="6" width="26.5" style="4" customWidth="1"/>
    <col min="7" max="7" width="20.296875" style="4" hidden="1" customWidth="1"/>
    <col min="8" max="8" width="0.296875" style="4" customWidth="1"/>
    <col min="9" max="9" width="30.3984375" style="4" customWidth="1"/>
    <col min="10" max="10" width="54.3984375" style="53" customWidth="1"/>
    <col min="11" max="11" width="23.3984375" style="3" customWidth="1"/>
    <col min="12" max="12" width="17.19921875" style="3" customWidth="1"/>
    <col min="13" max="13" width="24.3984375" style="3" customWidth="1"/>
    <col min="14" max="14" width="17.796875" style="3" customWidth="1"/>
    <col min="15" max="15" width="19" style="3" customWidth="1"/>
    <col min="16" max="16" width="22.296875" style="3" customWidth="1"/>
    <col min="17" max="17" width="18.296875" style="3" customWidth="1"/>
    <col min="18" max="18" width="31" style="3" customWidth="1"/>
    <col min="19" max="19" width="26.3984375" style="3" customWidth="1"/>
    <col min="20" max="20" width="28" style="3" customWidth="1"/>
    <col min="21" max="21" width="20.3984375" style="3" customWidth="1"/>
    <col min="22" max="22" width="26.296875" style="3" customWidth="1"/>
    <col min="23" max="23" width="25.3984375" style="3" customWidth="1"/>
    <col min="24" max="24" width="25.296875" style="3" customWidth="1"/>
    <col min="25" max="25" width="26.296875" style="3" customWidth="1"/>
    <col min="26" max="27" width="27.296875" style="3" customWidth="1"/>
    <col min="28" max="31" width="27.19921875" style="3" customWidth="1"/>
    <col min="32" max="32" width="22.296875" style="3" customWidth="1"/>
    <col min="33" max="33" width="26.19921875" style="3" customWidth="1"/>
    <col min="34" max="34" width="23.69921875" style="3" customWidth="1"/>
    <col min="35" max="35" width="27.796875" style="3" customWidth="1"/>
    <col min="36" max="36" width="19.796875" style="3" customWidth="1"/>
    <col min="37" max="37" width="24.296875" style="3" customWidth="1"/>
    <col min="38" max="38" width="13.69921875" style="3" customWidth="1"/>
    <col min="39" max="39" width="23.69921875" style="3" customWidth="1"/>
    <col min="40" max="40" width="23" style="3" customWidth="1"/>
    <col min="41" max="41" width="21.19921875" style="3" customWidth="1"/>
    <col min="42" max="43" width="27.796875" style="3" customWidth="1"/>
    <col min="44" max="44" width="23.69921875" style="3" customWidth="1"/>
    <col min="45" max="45" width="24.296875" style="3" customWidth="1"/>
    <col min="46" max="47" width="22" style="4" customWidth="1"/>
    <col min="48" max="16384" width="9.296875" style="4"/>
  </cols>
  <sheetData>
    <row r="1" spans="1:47" ht="13" thickBot="1" x14ac:dyDescent="0.35">
      <c r="A1" s="1"/>
      <c r="B1" s="2"/>
      <c r="C1" s="2"/>
      <c r="D1" s="2"/>
      <c r="E1" s="2"/>
      <c r="F1" s="2"/>
      <c r="G1" s="2"/>
      <c r="H1" s="2"/>
      <c r="I1" s="2"/>
      <c r="J1" s="2"/>
    </row>
    <row r="2" spans="1:47" ht="24.5" x14ac:dyDescent="0.3">
      <c r="A2" s="107" t="s">
        <v>0</v>
      </c>
      <c r="B2" s="107"/>
      <c r="C2" s="107"/>
      <c r="D2" s="107"/>
      <c r="E2" s="71"/>
      <c r="F2" s="71"/>
      <c r="G2" s="71"/>
      <c r="H2" s="71"/>
      <c r="I2" s="71"/>
      <c r="J2" s="5" t="s">
        <v>5</v>
      </c>
      <c r="R2" s="6">
        <f>P10+6%</f>
        <v>0.19750000000000001</v>
      </c>
    </row>
    <row r="3" spans="1:47" ht="24.5" customHeight="1" x14ac:dyDescent="0.3">
      <c r="A3" s="107" t="s">
        <v>168</v>
      </c>
      <c r="B3" s="107"/>
      <c r="C3" s="107"/>
      <c r="D3" s="107"/>
      <c r="E3" s="71"/>
      <c r="F3" s="71"/>
      <c r="G3" s="71"/>
      <c r="H3" s="71"/>
      <c r="I3" s="71"/>
      <c r="J3" s="7"/>
      <c r="K3" s="8"/>
    </row>
    <row r="4" spans="1:47" ht="25.5" customHeight="1" x14ac:dyDescent="0.3">
      <c r="A4" s="107" t="s">
        <v>169</v>
      </c>
      <c r="B4" s="107"/>
      <c r="C4" s="107"/>
      <c r="D4" s="107"/>
      <c r="E4" s="111" t="s">
        <v>171</v>
      </c>
      <c r="F4" s="111"/>
      <c r="G4" s="111"/>
      <c r="H4" s="111"/>
      <c r="I4" s="111"/>
      <c r="J4" s="7"/>
    </row>
    <row r="5" spans="1:47" ht="25.5" x14ac:dyDescent="0.3">
      <c r="A5" s="107"/>
      <c r="B5" s="107"/>
      <c r="C5" s="107"/>
      <c r="D5" s="107"/>
      <c r="E5" s="108" t="s">
        <v>162</v>
      </c>
      <c r="F5" s="108"/>
      <c r="G5" s="108"/>
      <c r="H5" s="108"/>
      <c r="I5" s="108"/>
      <c r="J5" s="7"/>
    </row>
    <row r="6" spans="1:47" ht="26" thickBot="1" x14ac:dyDescent="0.35">
      <c r="A6" s="110" t="s">
        <v>160</v>
      </c>
      <c r="B6" s="110"/>
      <c r="C6" s="110"/>
      <c r="D6" s="110"/>
      <c r="E6" s="109" t="s">
        <v>163</v>
      </c>
      <c r="F6" s="109"/>
      <c r="G6" s="109"/>
      <c r="H6" s="109"/>
      <c r="I6" s="109"/>
      <c r="J6" s="7"/>
      <c r="K6" s="123" t="s">
        <v>6</v>
      </c>
      <c r="L6" s="123"/>
      <c r="M6" s="123"/>
      <c r="N6" s="123"/>
      <c r="O6" s="123"/>
      <c r="P6" s="123"/>
      <c r="Q6" s="123"/>
      <c r="R6" s="123"/>
      <c r="S6" s="123"/>
      <c r="T6" s="123"/>
      <c r="U6" s="123"/>
      <c r="V6" s="124" t="s">
        <v>7</v>
      </c>
      <c r="W6" s="124"/>
      <c r="X6" s="124"/>
      <c r="Y6" s="124"/>
      <c r="Z6" s="124"/>
      <c r="AA6" s="124"/>
      <c r="AB6" s="124"/>
      <c r="AC6" s="124"/>
      <c r="AD6" s="124"/>
      <c r="AE6" s="124"/>
      <c r="AF6" s="125" t="s">
        <v>8</v>
      </c>
      <c r="AG6" s="125"/>
      <c r="AH6" s="125"/>
      <c r="AI6" s="125"/>
      <c r="AJ6" s="126" t="s">
        <v>9</v>
      </c>
      <c r="AK6" s="126"/>
      <c r="AL6" s="127" t="s">
        <v>10</v>
      </c>
      <c r="AM6" s="127"/>
      <c r="AN6" s="127"/>
      <c r="AO6" s="127"/>
      <c r="AP6" s="128" t="s">
        <v>11</v>
      </c>
      <c r="AQ6" s="128"/>
      <c r="AR6" s="116" t="s">
        <v>12</v>
      </c>
      <c r="AS6" s="116"/>
      <c r="AT6" s="116" t="s">
        <v>12</v>
      </c>
      <c r="AU6" s="116"/>
    </row>
    <row r="7" spans="1:47" ht="20.75" customHeight="1" x14ac:dyDescent="0.3">
      <c r="A7" s="117" t="s">
        <v>164</v>
      </c>
      <c r="B7" s="118"/>
      <c r="C7" s="118"/>
      <c r="D7" s="118"/>
      <c r="E7" s="118"/>
      <c r="F7" s="118"/>
      <c r="G7" s="118"/>
      <c r="H7" s="118"/>
      <c r="I7" s="119"/>
      <c r="J7" s="9"/>
      <c r="K7" s="123"/>
      <c r="L7" s="123"/>
      <c r="M7" s="123"/>
      <c r="N7" s="123"/>
      <c r="O7" s="123"/>
      <c r="P7" s="123"/>
      <c r="Q7" s="123"/>
      <c r="R7" s="123"/>
      <c r="S7" s="123"/>
      <c r="T7" s="123"/>
      <c r="U7" s="123"/>
      <c r="V7" s="124"/>
      <c r="W7" s="124"/>
      <c r="X7" s="124"/>
      <c r="Y7" s="124"/>
      <c r="Z7" s="124"/>
      <c r="AA7" s="124"/>
      <c r="AB7" s="124"/>
      <c r="AC7" s="124"/>
      <c r="AD7" s="124"/>
      <c r="AE7" s="124"/>
      <c r="AF7" s="125"/>
      <c r="AG7" s="125"/>
      <c r="AH7" s="125"/>
      <c r="AI7" s="125"/>
      <c r="AJ7" s="126"/>
      <c r="AK7" s="126"/>
      <c r="AL7" s="127"/>
      <c r="AM7" s="127"/>
      <c r="AN7" s="127"/>
      <c r="AO7" s="127"/>
      <c r="AP7" s="128"/>
      <c r="AQ7" s="128"/>
      <c r="AR7" s="116"/>
      <c r="AS7" s="116"/>
      <c r="AT7" s="116"/>
      <c r="AU7" s="116"/>
    </row>
    <row r="8" spans="1:47" ht="20.75" customHeight="1" thickBot="1" x14ac:dyDescent="0.35">
      <c r="A8" s="120"/>
      <c r="B8" s="121"/>
      <c r="C8" s="121"/>
      <c r="D8" s="121"/>
      <c r="E8" s="121"/>
      <c r="F8" s="121"/>
      <c r="G8" s="121"/>
      <c r="H8" s="121"/>
      <c r="I8" s="122"/>
      <c r="J8" s="9"/>
      <c r="K8" s="10"/>
      <c r="L8" s="10"/>
      <c r="M8" s="11"/>
      <c r="N8" s="113" t="s">
        <v>13</v>
      </c>
      <c r="O8" s="113"/>
      <c r="P8" s="113" t="s">
        <v>14</v>
      </c>
      <c r="Q8" s="113"/>
      <c r="R8" s="113" t="s">
        <v>15</v>
      </c>
      <c r="S8" s="113"/>
      <c r="T8" s="113" t="s">
        <v>16</v>
      </c>
      <c r="U8" s="113"/>
      <c r="V8" s="129" t="s">
        <v>17</v>
      </c>
      <c r="W8" s="129"/>
      <c r="X8" s="129" t="s">
        <v>18</v>
      </c>
      <c r="Y8" s="129"/>
      <c r="Z8" s="129" t="s">
        <v>19</v>
      </c>
      <c r="AA8" s="129"/>
      <c r="AB8" s="129" t="s">
        <v>20</v>
      </c>
      <c r="AC8" s="129"/>
      <c r="AD8" s="129" t="s">
        <v>21</v>
      </c>
      <c r="AE8" s="129"/>
      <c r="AF8" s="130" t="s">
        <v>22</v>
      </c>
      <c r="AG8" s="130"/>
      <c r="AH8" s="130" t="s">
        <v>23</v>
      </c>
      <c r="AI8" s="130"/>
      <c r="AJ8" s="12" t="s">
        <v>24</v>
      </c>
      <c r="AK8" s="12" t="s">
        <v>25</v>
      </c>
      <c r="AL8" s="112" t="s">
        <v>26</v>
      </c>
      <c r="AM8" s="112"/>
      <c r="AN8" s="112" t="s">
        <v>27</v>
      </c>
      <c r="AO8" s="112"/>
      <c r="AP8" s="13" t="s">
        <v>71</v>
      </c>
      <c r="AQ8" s="13" t="s">
        <v>72</v>
      </c>
      <c r="AR8" s="14" t="s">
        <v>28</v>
      </c>
      <c r="AS8" s="14" t="s">
        <v>29</v>
      </c>
      <c r="AT8" s="14" t="s">
        <v>70</v>
      </c>
      <c r="AU8" s="14" t="s">
        <v>29</v>
      </c>
    </row>
    <row r="9" spans="1:47" ht="62.5" customHeight="1" thickBot="1" x14ac:dyDescent="0.35">
      <c r="A9" s="75" t="s">
        <v>1</v>
      </c>
      <c r="B9" s="76" t="s">
        <v>2</v>
      </c>
      <c r="C9" s="76" t="s">
        <v>3</v>
      </c>
      <c r="D9" s="76" t="s">
        <v>4</v>
      </c>
      <c r="E9" s="76" t="s">
        <v>79</v>
      </c>
      <c r="F9" s="77" t="s">
        <v>80</v>
      </c>
      <c r="G9" s="76" t="s">
        <v>81</v>
      </c>
      <c r="H9" s="77" t="s">
        <v>82</v>
      </c>
      <c r="I9" s="78" t="s">
        <v>83</v>
      </c>
      <c r="J9" s="18" t="s">
        <v>30</v>
      </c>
      <c r="K9" s="19" t="s">
        <v>31</v>
      </c>
      <c r="L9" s="20" t="s">
        <v>32</v>
      </c>
      <c r="M9" s="20" t="str">
        <f>"1 USD = "&amp;M10&amp;" PKR"</f>
        <v>1 USD = 300 PKR</v>
      </c>
      <c r="N9" s="20" t="str">
        <f>"Discount "&amp;(100-$N$10*100)&amp;"% PKR @"</f>
        <v>Discount 40% PKR @</v>
      </c>
      <c r="O9" s="20" t="s">
        <v>33</v>
      </c>
      <c r="P9" s="20" t="str">
        <f>"Imporation NDG "&amp;(P10*100)&amp;"% | DG "&amp; (P10*100+6)&amp; "% PKR @"</f>
        <v>Imporation NDG 13.75% | DG 19.75% PKR @</v>
      </c>
      <c r="Q9" s="20" t="s">
        <v>34</v>
      </c>
      <c r="R9" s="20" t="str">
        <f>"Origin to Destination Transportation 1% Default + "&amp;(R10*100)&amp;"% for Ex KHI
PKR @"</f>
        <v>Origin to Destination Transportation 1% Default + 1% for Ex KHI
PKR @</v>
      </c>
      <c r="S9" s="20" t="s">
        <v>35</v>
      </c>
      <c r="T9" s="20" t="str">
        <f>"our Profit 15% Default local OR "&amp;(T10*100)&amp;"% 
Imported Item PKR "</f>
        <v xml:space="preserve">our Profit 15% Default local OR 15% 
Imported Item PKR </v>
      </c>
      <c r="U9" s="20" t="s">
        <v>36</v>
      </c>
      <c r="V9" s="20" t="str">
        <f>"Manpower 15% Default + "&amp;(V10*100)&amp;"% 
of Pipe PKR "</f>
        <v xml:space="preserve">Manpower 15% Default + 10% 
of Pipe PKR </v>
      </c>
      <c r="W9" s="20" t="s">
        <v>37</v>
      </c>
      <c r="X9" s="20" t="str">
        <f>"Fittings 15% + "&amp;(X10*100)&amp;"% for Pipe PKR @"</f>
        <v>Fittings 15% + 10% for Pipe PKR @</v>
      </c>
      <c r="Y9" s="20" t="s">
        <v>38</v>
      </c>
      <c r="Z9" s="20" t="str">
        <f>"Flushing "&amp;(Z10*100)&amp;"% of Total Pipe Cost"</f>
        <v>Flushing 0% of Total Pipe Cost</v>
      </c>
      <c r="AA9" s="20" t="s">
        <v>39</v>
      </c>
      <c r="AB9" s="20" t="str">
        <f>"Painting "&amp;(AB10*100)&amp;"% of Total Pipe Cost"</f>
        <v>Painting 0% of Total Pipe Cost</v>
      </c>
      <c r="AC9" s="20" t="s">
        <v>40</v>
      </c>
      <c r="AD9" s="20" t="str">
        <f>"Drawing "&amp;(AD10*100)&amp;"% of Total Pipe Cost"</f>
        <v>Drawing 0% of Total Pipe Cost</v>
      </c>
      <c r="AE9" s="20" t="s">
        <v>41</v>
      </c>
      <c r="AF9" s="20" t="str">
        <f>"Testing "&amp;(AF10*100)&amp;"% of Total Pipe Cost"</f>
        <v>Testing 0% of Total Pipe Cost</v>
      </c>
      <c r="AG9" s="20" t="s">
        <v>42</v>
      </c>
      <c r="AH9" s="20" t="str">
        <f>"Commissioning "&amp;(AH10*100)&amp;"% of Total Pipe Cost"</f>
        <v>Commissioning 10% of Total Pipe Cost</v>
      </c>
      <c r="AI9" s="20" t="s">
        <v>43</v>
      </c>
      <c r="AJ9" s="20" t="s">
        <v>44</v>
      </c>
      <c r="AK9" s="20" t="s">
        <v>45</v>
      </c>
      <c r="AL9" s="20" t="str">
        <f>"GST "&amp;(AL10*100)&amp;"% @"</f>
        <v>GST 18% @</v>
      </c>
      <c r="AM9" s="20" t="s">
        <v>46</v>
      </c>
      <c r="AN9" s="21" t="str">
        <f>"Sale Tax "&amp;(AN10*100)&amp;"% @"</f>
        <v>Sale Tax 13% @</v>
      </c>
      <c r="AO9" s="20" t="s">
        <v>47</v>
      </c>
      <c r="AP9" s="21" t="s">
        <v>48</v>
      </c>
      <c r="AQ9" s="21" t="s">
        <v>49</v>
      </c>
      <c r="AR9" s="21" t="str">
        <f>"Total @ "&amp;(AR10*100)&amp;"% WHT"</f>
        <v>Total @ 0% WHT</v>
      </c>
      <c r="AS9" s="20" t="s">
        <v>50</v>
      </c>
      <c r="AT9" s="21" t="str">
        <f>"Total @ "&amp;(AT10*100)&amp;"% Other Profit"</f>
        <v>Total @ 0% Other Profit</v>
      </c>
      <c r="AU9" s="20" t="s">
        <v>50</v>
      </c>
    </row>
    <row r="10" spans="1:47" ht="14.5" thickBot="1" x14ac:dyDescent="0.35">
      <c r="A10" s="96"/>
      <c r="B10" s="136"/>
      <c r="C10" s="136"/>
      <c r="D10" s="136"/>
      <c r="E10" s="136"/>
      <c r="F10" s="136"/>
      <c r="G10" s="136"/>
      <c r="H10" s="136"/>
      <c r="I10" s="137"/>
      <c r="J10" s="25"/>
      <c r="K10" s="26"/>
      <c r="L10" s="27"/>
      <c r="M10" s="27">
        <v>300</v>
      </c>
      <c r="N10" s="28">
        <v>0.6</v>
      </c>
      <c r="O10" s="29"/>
      <c r="P10" s="28">
        <f>55%*25%</f>
        <v>0.13750000000000001</v>
      </c>
      <c r="Q10" s="29"/>
      <c r="R10" s="28">
        <v>0.01</v>
      </c>
      <c r="S10" s="29"/>
      <c r="T10" s="28">
        <v>0.15</v>
      </c>
      <c r="U10" s="29"/>
      <c r="V10" s="28">
        <v>0.1</v>
      </c>
      <c r="W10" s="29"/>
      <c r="X10" s="28">
        <v>0.1</v>
      </c>
      <c r="Y10" s="29"/>
      <c r="Z10" s="28">
        <v>0</v>
      </c>
      <c r="AA10" s="30"/>
      <c r="AB10" s="28">
        <v>0</v>
      </c>
      <c r="AC10" s="29"/>
      <c r="AD10" s="28">
        <v>0</v>
      </c>
      <c r="AE10" s="29"/>
      <c r="AF10" s="28">
        <v>0</v>
      </c>
      <c r="AG10" s="29"/>
      <c r="AH10" s="28">
        <v>0.1</v>
      </c>
      <c r="AI10" s="29"/>
      <c r="AJ10" s="29"/>
      <c r="AK10" s="29"/>
      <c r="AL10" s="28">
        <v>0.18</v>
      </c>
      <c r="AM10" s="29"/>
      <c r="AN10" s="31">
        <v>0.13</v>
      </c>
      <c r="AO10" s="32"/>
      <c r="AP10" s="32"/>
      <c r="AQ10" s="32"/>
      <c r="AR10" s="31">
        <v>0</v>
      </c>
      <c r="AS10" s="29" t="s">
        <v>51</v>
      </c>
      <c r="AT10" s="31">
        <v>0</v>
      </c>
      <c r="AU10" s="29" t="s">
        <v>51</v>
      </c>
    </row>
    <row r="11" spans="1:47" ht="19.5" x14ac:dyDescent="0.3">
      <c r="A11" s="97" t="s">
        <v>76</v>
      </c>
      <c r="B11" s="114" t="s">
        <v>165</v>
      </c>
      <c r="C11" s="114"/>
      <c r="D11" s="114"/>
      <c r="E11" s="114"/>
      <c r="F11" s="114"/>
      <c r="G11" s="114"/>
      <c r="H11" s="114"/>
      <c r="I11" s="115"/>
      <c r="J11" s="65"/>
      <c r="K11" s="33">
        <v>0</v>
      </c>
      <c r="L11" s="196">
        <v>0</v>
      </c>
      <c r="M11" s="34">
        <f t="shared" ref="M11" si="0">L11*$M$10</f>
        <v>0</v>
      </c>
      <c r="N11" s="35">
        <f t="shared" ref="N11" si="1">IF(M11&gt;0,M11*$N$10,K11)</f>
        <v>0</v>
      </c>
      <c r="O11" s="35">
        <f t="shared" ref="O11" si="2">N11*C11</f>
        <v>0</v>
      </c>
      <c r="P11" s="35">
        <f>IF(M11&gt;0,(N11*($P$10)+((1500*300*0)/COUNTIF($L$11:$L$9768,"&gt;0"))/$C11),0)</f>
        <v>0</v>
      </c>
      <c r="Q11" s="35">
        <f t="shared" ref="Q11" si="3">P11*C11</f>
        <v>0</v>
      </c>
      <c r="R11" s="35">
        <f>N11*($R$10+1%)</f>
        <v>0</v>
      </c>
      <c r="S11" s="35">
        <f t="shared" ref="S11" si="4">R11*C11</f>
        <v>0</v>
      </c>
      <c r="T11" s="35">
        <f>IF(M11&gt;0,N11*$T$10,N11*20%)</f>
        <v>0</v>
      </c>
      <c r="U11" s="35">
        <f t="shared" ref="U11" si="5">T11*C11</f>
        <v>0</v>
      </c>
      <c r="V11" s="36">
        <f>IF(OR(AND(ISNUMBER(SEARCH("Installation",B11)),ISNUMBER(SEARCH("Mtr",D11))),AND(ISNUMBER(SEARCH("Installation",B11)),ISNUMBER(SEARCH("Rft",D11)))),N11*$V$10,IF(ISNUMBER(SEARCH("Installation",B11)),N11*5%,N11*0%))</f>
        <v>0</v>
      </c>
      <c r="W11" s="36">
        <f t="shared" ref="W11" si="6">V11*C11</f>
        <v>0</v>
      </c>
      <c r="X11" s="36">
        <f>IF(OR(AND(ISNUMBER(SEARCH("Installation",B11)),ISNUMBER(SEARCH("Mtr",D11))),AND(ISNUMBER(SEARCH("Installation",B11)),ISNUMBER(SEARCH("Rft",D11)))),N11*$X$10,IF(ISNUMBER(SEARCH("Installation",B11)),N11*5%,N11*0%))</f>
        <v>0</v>
      </c>
      <c r="Y11" s="36">
        <f t="shared" ref="Y11" si="7">X11*C11</f>
        <v>0</v>
      </c>
      <c r="Z11" s="36">
        <f t="shared" ref="Z11" si="8">IF(AND(ISNUMBER(SEARCH("Installation",B11)),ISNUMBER(SEARCH("Rft",D11))),N11*$Z$10,0)</f>
        <v>0</v>
      </c>
      <c r="AA11" s="36">
        <f t="shared" ref="AA11" si="9">Z11*C11</f>
        <v>0</v>
      </c>
      <c r="AB11" s="36">
        <f t="shared" ref="AB11" si="10">IF(OR(AND(ISNUMBER(SEARCH("Installation",B11)),ISNUMBER(SEARCH("Mtr",D11))),AND(ISNUMBER(SEARCH("Installation",B11)),ISNUMBER(SEARCH("Rft",D11)))),N11*$AB$10,0)</f>
        <v>0</v>
      </c>
      <c r="AC11" s="36">
        <f t="shared" ref="AC11" si="11">AB11*C11</f>
        <v>0</v>
      </c>
      <c r="AD11" s="36">
        <f t="shared" ref="AD11" si="12">IF(OR(AND(ISNUMBER(SEARCH("Installation",B11)),ISNUMBER(SEARCH("Mtr",D11))),AND(ISNUMBER(SEARCH("Installation",B11)),ISNUMBER(SEARCH("Rft",D11)))),N11*$AD$10,N11*0%)</f>
        <v>0</v>
      </c>
      <c r="AE11" s="36">
        <f t="shared" ref="AE11" si="13">AD11*C11</f>
        <v>0</v>
      </c>
      <c r="AF11" s="36">
        <f t="shared" ref="AF11:AF31" si="14">IF(ISNUMBER(SEARCH("Testing",B11)),N11*$AF$10,N11*0%)</f>
        <v>0</v>
      </c>
      <c r="AG11" s="36">
        <f t="shared" ref="AG11" si="15">AF11*C11</f>
        <v>0</v>
      </c>
      <c r="AH11" s="36">
        <f t="shared" ref="AH11:AH31" si="16">IF(ISNUMBER(SEARCH("Commissioning",B11)),N11*$AH$10,N11*0%)</f>
        <v>0</v>
      </c>
      <c r="AI11" s="36">
        <f t="shared" ref="AI11" si="17">AH11*C11</f>
        <v>0</v>
      </c>
      <c r="AJ11" s="36">
        <f t="shared" ref="AJ11" si="18">N11+P11+R11+T11+V11+X11+Z11+AB11+AD11+AF11+AH11</f>
        <v>0</v>
      </c>
      <c r="AK11" s="36">
        <f t="shared" ref="AK11" si="19">AJ11*C11</f>
        <v>0</v>
      </c>
      <c r="AL11" s="36">
        <f t="shared" ref="AL11" si="20">IF(ISNUMBER(SEARCH("Supply",B11)),(N11+P11+R11+T11)*$AL$10,(N11+P11+R11+T11)*0%)</f>
        <v>0</v>
      </c>
      <c r="AM11" s="36">
        <f t="shared" ref="AM11" si="21">AL11*C11</f>
        <v>0</v>
      </c>
      <c r="AN11" s="37">
        <f t="shared" ref="AN11" si="22">IF(OR(ISNUMBER(SEARCH("Installation",B11)), ISNUMBER(SEARCH("Testing",B11)),ISNUMBER(SEARCH("Commissioning",B11)),),(V11+X11+Z11+AB11+AD11+AF11+AH11)*$AN$10, (V11+X11+Z11+AB11+AD11+AF11+AH11)*0%)</f>
        <v>0</v>
      </c>
      <c r="AO11" s="37">
        <f t="shared" ref="AO11" si="23">AN11*C11</f>
        <v>0</v>
      </c>
      <c r="AP11" s="37">
        <f t="shared" ref="AP11" si="24">AJ11+AL11+AN11</f>
        <v>0</v>
      </c>
      <c r="AQ11" s="37">
        <f t="shared" ref="AQ11" si="25">AP11*C11</f>
        <v>0</v>
      </c>
      <c r="AR11" s="37">
        <f t="shared" ref="AR11" si="26">AP11/(100%-$AR$10)</f>
        <v>0</v>
      </c>
      <c r="AS11" s="29">
        <f t="shared" ref="AS11" si="27">AR11*C11</f>
        <v>0</v>
      </c>
      <c r="AT11" s="37">
        <f t="shared" ref="AT11" si="28">AR11/(100%-$AT$10)</f>
        <v>0</v>
      </c>
      <c r="AU11" s="29">
        <f t="shared" ref="AU11" si="29">AT11*C11</f>
        <v>0</v>
      </c>
    </row>
    <row r="12" spans="1:47" ht="38" customHeight="1" x14ac:dyDescent="0.3">
      <c r="A12" s="79" t="s">
        <v>77</v>
      </c>
      <c r="B12" s="83" t="s">
        <v>166</v>
      </c>
      <c r="C12" s="84"/>
      <c r="D12" s="84"/>
      <c r="E12" s="73"/>
      <c r="F12" s="74">
        <f t="shared" ref="F12" si="30">E12*C12</f>
        <v>0</v>
      </c>
      <c r="G12" s="73">
        <f>((V12+X12+Z12+AB12+AD12+AF12+AH12)/88%)</f>
        <v>0</v>
      </c>
      <c r="H12" s="74">
        <f t="shared" ref="H12" si="31">G12*C12</f>
        <v>0</v>
      </c>
      <c r="I12" s="80">
        <f t="shared" ref="I12" si="32">H12+F12</f>
        <v>0</v>
      </c>
      <c r="J12" s="66"/>
      <c r="K12" s="33">
        <v>0</v>
      </c>
      <c r="L12" s="197">
        <f>0</f>
        <v>0</v>
      </c>
      <c r="M12" s="34">
        <f t="shared" ref="M12:M31" si="33">L12*$M$10</f>
        <v>0</v>
      </c>
      <c r="N12" s="35">
        <f t="shared" ref="N12:N31" si="34">IF(M12&gt;0,M12*$N$10,K12)</f>
        <v>0</v>
      </c>
      <c r="O12" s="35">
        <f t="shared" ref="O12:O31" si="35">N12*C12</f>
        <v>0</v>
      </c>
      <c r="P12" s="35">
        <f>IF(M12&gt;0,(N12*($P$10)+((1500*300*0)/COUNTIF($L$11:$L$9768,"&gt;0"))/$C12),0)</f>
        <v>0</v>
      </c>
      <c r="Q12" s="35">
        <f>P12*C12</f>
        <v>0</v>
      </c>
      <c r="R12" s="35">
        <f>N12*($R$10+1%)</f>
        <v>0</v>
      </c>
      <c r="S12" s="35">
        <f>R12*C12</f>
        <v>0</v>
      </c>
      <c r="T12" s="35">
        <f t="shared" ref="T12:T30" si="36">IF(M12&gt;0,N12*$T$10,N12*20%)</f>
        <v>0</v>
      </c>
      <c r="U12" s="35">
        <f>T12*C12</f>
        <v>0</v>
      </c>
      <c r="V12" s="36">
        <f t="shared" ref="V12:V31" si="37">IF(OR(AND(ISNUMBER(SEARCH("Installation",B12)),ISNUMBER(SEARCH("Mtr",D12))),AND(ISNUMBER(SEARCH("Installation",B12)),ISNUMBER(SEARCH("Rft",D12)))),N12*$V$10,IF(ISNUMBER(SEARCH("Installation",B12)),N12*5%,N12*0%))</f>
        <v>0</v>
      </c>
      <c r="W12" s="36">
        <f t="shared" ref="W12:W31" si="38">V12*C12</f>
        <v>0</v>
      </c>
      <c r="X12" s="36">
        <f t="shared" ref="X12:X31" si="39">IF(OR(AND(ISNUMBER(SEARCH("Installation",B12)),ISNUMBER(SEARCH("Mtr",D12))),AND(ISNUMBER(SEARCH("Installation",B12)),ISNUMBER(SEARCH("Rft",D12)))),N12*$X$10,IF(ISNUMBER(SEARCH("Installation",B12)),N12*5%,N12*0%))</f>
        <v>0</v>
      </c>
      <c r="Y12" s="36">
        <f>X12*C12</f>
        <v>0</v>
      </c>
      <c r="Z12" s="36">
        <f>IF(AND(ISNUMBER(SEARCH("Installation",B12)),ISNUMBER(SEARCH("Rft",D12))),N12*$Z$10,0)</f>
        <v>0</v>
      </c>
      <c r="AA12" s="36">
        <f t="shared" ref="AA12:AA31" si="40">Z12*C12</f>
        <v>0</v>
      </c>
      <c r="AB12" s="36">
        <f t="shared" ref="AB12:AB31" si="41">IF(OR(AND(ISNUMBER(SEARCH("Installation",B12)),ISNUMBER(SEARCH("Mtr",D12))),AND(ISNUMBER(SEARCH("Installation",B12)),ISNUMBER(SEARCH("Rft",D12)))),N12*$AB$10,0)</f>
        <v>0</v>
      </c>
      <c r="AC12" s="36">
        <f t="shared" ref="AC12:AC31" si="42">AB12*C12</f>
        <v>0</v>
      </c>
      <c r="AD12" s="36">
        <f t="shared" ref="AD12:AD31" si="43">IF(OR(AND(ISNUMBER(SEARCH("Installation",B12)),ISNUMBER(SEARCH("Mtr",D12))),AND(ISNUMBER(SEARCH("Installation",B12)),ISNUMBER(SEARCH("Rft",D12)))),N12*$AD$10,N12*0%)</f>
        <v>0</v>
      </c>
      <c r="AE12" s="36">
        <f t="shared" ref="AE12:AE31" si="44">AD12*C12</f>
        <v>0</v>
      </c>
      <c r="AF12" s="36">
        <f t="shared" si="14"/>
        <v>0</v>
      </c>
      <c r="AG12" s="36">
        <f t="shared" ref="AG12:AG31" si="45">AF12*C12</f>
        <v>0</v>
      </c>
      <c r="AH12" s="36">
        <f t="shared" si="16"/>
        <v>0</v>
      </c>
      <c r="AI12" s="36">
        <f t="shared" ref="AI12:AI31" si="46">AH12*C12</f>
        <v>0</v>
      </c>
      <c r="AJ12" s="36">
        <f t="shared" ref="AJ12:AJ31" si="47">N12+P12+R12+T12+V12+X12+Z12+AB12+AD12+AF12+AH12</f>
        <v>0</v>
      </c>
      <c r="AK12" s="36">
        <f t="shared" ref="AK12:AK31" si="48">AJ12*C12</f>
        <v>0</v>
      </c>
      <c r="AL12" s="36">
        <f>IF(ISNUMBER(SEARCH("Supply",B12)),(N12+P12+R12+T12)*$AL$10,(N12+P12+R12+T12)*18%)</f>
        <v>0</v>
      </c>
      <c r="AM12" s="36">
        <f>AL12*C12</f>
        <v>0</v>
      </c>
      <c r="AN12" s="37">
        <f>IF(OR(ISNUMBER(SEARCH("Installation",B12)), ISNUMBER(SEARCH("Testing",B12)),ISNUMBER(SEARCH("Commissioning",B12)),),(V12+X12+Z12+AB12+AD12+AF12+AH12)*$AN$10, (V12+X12+Z12+AB12+AD12+AF12+AH12)*13%)</f>
        <v>0</v>
      </c>
      <c r="AO12" s="37">
        <f t="shared" ref="AO12:AO31" si="49">AN12*C12</f>
        <v>0</v>
      </c>
      <c r="AP12" s="37">
        <f t="shared" ref="AP12:AP31" si="50">AJ12+AL12+AN12</f>
        <v>0</v>
      </c>
      <c r="AQ12" s="37">
        <f t="shared" ref="AQ12:AQ31" si="51">AP12*C12</f>
        <v>0</v>
      </c>
      <c r="AR12" s="37">
        <f t="shared" ref="AR12:AR31" si="52">AP12/(100%-$AR$10)</f>
        <v>0</v>
      </c>
      <c r="AS12" s="29">
        <f t="shared" ref="AS12:AS31" si="53">AR12*C12</f>
        <v>0</v>
      </c>
      <c r="AT12" s="37">
        <f t="shared" ref="AT12:AT31" si="54">AR12/(100%-$AT$10)</f>
        <v>0</v>
      </c>
      <c r="AU12" s="29">
        <f t="shared" ref="AU12:AU31" si="55">AT12*C12</f>
        <v>0</v>
      </c>
    </row>
    <row r="13" spans="1:47" ht="116" customHeight="1" x14ac:dyDescent="0.3">
      <c r="A13" s="79" t="s">
        <v>78</v>
      </c>
      <c r="B13" s="191" t="s">
        <v>188</v>
      </c>
      <c r="C13" s="84">
        <v>12</v>
      </c>
      <c r="D13" s="84" t="s">
        <v>145</v>
      </c>
      <c r="E13" s="73"/>
      <c r="F13" s="74">
        <f t="shared" ref="F13" si="56">E13*C13</f>
        <v>0</v>
      </c>
      <c r="G13" s="73">
        <f>0</f>
        <v>0</v>
      </c>
      <c r="H13" s="74">
        <f t="shared" ref="H13" si="57">G13*C13</f>
        <v>0</v>
      </c>
      <c r="I13" s="80">
        <f t="shared" ref="I13" si="58">H13+F13</f>
        <v>0</v>
      </c>
      <c r="J13" s="195" t="s">
        <v>170</v>
      </c>
      <c r="K13" s="33">
        <v>0</v>
      </c>
      <c r="L13" s="197">
        <v>0</v>
      </c>
      <c r="M13" s="34">
        <v>0</v>
      </c>
      <c r="N13" s="35">
        <v>0</v>
      </c>
      <c r="O13" s="35">
        <f t="shared" ref="O13" si="59">N13*C13</f>
        <v>0</v>
      </c>
      <c r="P13" s="35">
        <f>IF(M13&gt;0,(N13*($P$10)+((1500*300*0)/COUNTIF($L$11:$L$9768,"&gt;0"))/$C13),0)</f>
        <v>0</v>
      </c>
      <c r="Q13" s="35">
        <f>P13*C13</f>
        <v>0</v>
      </c>
      <c r="R13" s="35">
        <f>N13*($R$10+1%)</f>
        <v>0</v>
      </c>
      <c r="S13" s="35">
        <f>R13*C13</f>
        <v>0</v>
      </c>
      <c r="T13" s="35">
        <f t="shared" si="36"/>
        <v>0</v>
      </c>
      <c r="U13" s="35">
        <f>T13*C13</f>
        <v>0</v>
      </c>
      <c r="V13" s="36">
        <f t="shared" ref="V13" si="60">IF(OR(AND(ISNUMBER(SEARCH("Installation",B13)),ISNUMBER(SEARCH("Mtr",D13))),AND(ISNUMBER(SEARCH("Installation",B13)),ISNUMBER(SEARCH("Rft",D13)))),N13*$V$10,IF(ISNUMBER(SEARCH("Installation",B13)),N13*5%,N13*0%))</f>
        <v>0</v>
      </c>
      <c r="W13" s="36">
        <f t="shared" ref="W13" si="61">V13*C13</f>
        <v>0</v>
      </c>
      <c r="X13" s="36">
        <f t="shared" ref="X13" si="62">IF(OR(AND(ISNUMBER(SEARCH("Installation",B13)),ISNUMBER(SEARCH("Mtr",D13))),AND(ISNUMBER(SEARCH("Installation",B13)),ISNUMBER(SEARCH("Rft",D13)))),N13*$X$10,IF(ISNUMBER(SEARCH("Installation",B13)),N13*5%,N13*0%))</f>
        <v>0</v>
      </c>
      <c r="Y13" s="36">
        <f>X13*C13</f>
        <v>0</v>
      </c>
      <c r="Z13" s="36">
        <f>IF(AND(ISNUMBER(SEARCH("Installation",B13)),ISNUMBER(SEARCH("Rft",D13))),N13*$Z$10,0)</f>
        <v>0</v>
      </c>
      <c r="AA13" s="36">
        <f t="shared" ref="AA13" si="63">Z13*C13</f>
        <v>0</v>
      </c>
      <c r="AB13" s="36">
        <f t="shared" ref="AB13" si="64">IF(OR(AND(ISNUMBER(SEARCH("Installation",B13)),ISNUMBER(SEARCH("Mtr",D13))),AND(ISNUMBER(SEARCH("Installation",B13)),ISNUMBER(SEARCH("Rft",D13)))),N13*$AB$10,0)</f>
        <v>0</v>
      </c>
      <c r="AC13" s="36">
        <f t="shared" ref="AC13" si="65">AB13*C13</f>
        <v>0</v>
      </c>
      <c r="AD13" s="36">
        <f t="shared" ref="AD13" si="66">IF(OR(AND(ISNUMBER(SEARCH("Installation",B13)),ISNUMBER(SEARCH("Mtr",D13))),AND(ISNUMBER(SEARCH("Installation",B13)),ISNUMBER(SEARCH("Rft",D13)))),N13*$AD$10,N13*0%)</f>
        <v>0</v>
      </c>
      <c r="AE13" s="36">
        <f t="shared" ref="AE13" si="67">AD13*C13</f>
        <v>0</v>
      </c>
      <c r="AF13" s="36">
        <f t="shared" ref="AF13" si="68">IF(ISNUMBER(SEARCH("Testing",B13)),N13*$AF$10,N13*0%)</f>
        <v>0</v>
      </c>
      <c r="AG13" s="36">
        <f t="shared" ref="AG13" si="69">AF13*C13</f>
        <v>0</v>
      </c>
      <c r="AH13" s="36">
        <f t="shared" ref="AH13" si="70">IF(ISNUMBER(SEARCH("Commissioning",B13)),N13*$AH$10,N13*0%)</f>
        <v>0</v>
      </c>
      <c r="AI13" s="36">
        <f t="shared" ref="AI13" si="71">AH13*C13</f>
        <v>0</v>
      </c>
      <c r="AJ13" s="36">
        <f t="shared" ref="AJ13" si="72">N13+P13+R13+T13+V13+X13+Z13+AB13+AD13+AF13+AH13</f>
        <v>0</v>
      </c>
      <c r="AK13" s="36">
        <f t="shared" ref="AK13" si="73">AJ13*C13</f>
        <v>0</v>
      </c>
      <c r="AL13" s="36">
        <f>IF(ISNUMBER(SEARCH("Supply",B13)),(N13+P13+R13+T13)*$AL$10,(N13+P13+R13+T13)*18%)</f>
        <v>0</v>
      </c>
      <c r="AM13" s="36">
        <f>AL13*C13</f>
        <v>0</v>
      </c>
      <c r="AN13" s="37">
        <f>IF(OR(ISNUMBER(SEARCH("Installation",B13)), ISNUMBER(SEARCH("Testing",B13)),ISNUMBER(SEARCH("Commissioning",B13)),),(V13+X13+Z13+AB13+AD13+AF13+AH13)*$AN$10, (V13+X13+Z13+AB13+AD13+AF13+AH13)*13%)</f>
        <v>0</v>
      </c>
      <c r="AO13" s="37">
        <f t="shared" ref="AO13" si="74">AN13*C13</f>
        <v>0</v>
      </c>
      <c r="AP13" s="37">
        <f t="shared" ref="AP13" si="75">AJ13+AL13+AN13</f>
        <v>0</v>
      </c>
      <c r="AQ13" s="37">
        <f t="shared" ref="AQ13" si="76">AP13*C13</f>
        <v>0</v>
      </c>
      <c r="AR13" s="37">
        <f t="shared" ref="AR13" si="77">AP13/(100%-$AR$10)</f>
        <v>0</v>
      </c>
      <c r="AS13" s="29">
        <f t="shared" ref="AS13" si="78">AR13*C13</f>
        <v>0</v>
      </c>
      <c r="AT13" s="37">
        <f t="shared" ref="AT13" si="79">AR13/(100%-$AT$10)</f>
        <v>0</v>
      </c>
      <c r="AU13" s="29">
        <f t="shared" ref="AU13" si="80">AT13*C13</f>
        <v>0</v>
      </c>
    </row>
    <row r="14" spans="1:47" ht="83" customHeight="1" x14ac:dyDescent="0.3">
      <c r="A14" s="79" t="s">
        <v>146</v>
      </c>
      <c r="B14" s="191" t="s">
        <v>192</v>
      </c>
      <c r="C14" s="84">
        <v>6</v>
      </c>
      <c r="D14" s="84" t="s">
        <v>145</v>
      </c>
      <c r="E14" s="73"/>
      <c r="F14" s="74">
        <f t="shared" ref="F14" si="81">E14*C14</f>
        <v>0</v>
      </c>
      <c r="G14" s="73">
        <f>0</f>
        <v>0</v>
      </c>
      <c r="H14" s="74">
        <f t="shared" ref="H14" si="82">G14*C14</f>
        <v>0</v>
      </c>
      <c r="I14" s="80">
        <f t="shared" ref="I14" si="83">H14+F14</f>
        <v>0</v>
      </c>
      <c r="J14" s="195" t="s">
        <v>144</v>
      </c>
      <c r="K14" s="33">
        <f>0</f>
        <v>0</v>
      </c>
      <c r="L14" s="197">
        <v>30</v>
      </c>
      <c r="M14" s="34">
        <f>L14*M10</f>
        <v>9000</v>
      </c>
      <c r="N14" s="35">
        <f>IF(M14&gt;0,M14*$N$10,K14)</f>
        <v>5400</v>
      </c>
      <c r="O14" s="35">
        <f t="shared" ref="O14" si="84">N14*C14</f>
        <v>32400</v>
      </c>
      <c r="P14" s="35">
        <f ca="1">IF(M14&gt;0,(N14*($P$10)+((1500*300*0)/COUNTIF($L$11:$L$9768,"&gt;0"))/$C14),0)</f>
        <v>0</v>
      </c>
      <c r="Q14" s="35">
        <f ca="1">P14*C14</f>
        <v>0</v>
      </c>
      <c r="R14" s="35">
        <f>N14*($R$10+1%)</f>
        <v>108</v>
      </c>
      <c r="S14" s="35">
        <f>R14*C14</f>
        <v>648</v>
      </c>
      <c r="T14" s="35">
        <f t="shared" ref="T14" si="85">IF(M14&gt;0,N14*$T$10,N14*20%)</f>
        <v>810</v>
      </c>
      <c r="U14" s="35">
        <f>T14*C14</f>
        <v>4860</v>
      </c>
      <c r="V14" s="36">
        <f t="shared" ref="V14" si="86">IF(OR(AND(ISNUMBER(SEARCH("Installation",B14)),ISNUMBER(SEARCH("Mtr",D14))),AND(ISNUMBER(SEARCH("Installation",B14)),ISNUMBER(SEARCH("Rft",D14)))),N14*$V$10,IF(ISNUMBER(SEARCH("Installation",B14)),N14*5%,N14*0%))</f>
        <v>0</v>
      </c>
      <c r="W14" s="36">
        <f t="shared" ref="W14" si="87">V14*C14</f>
        <v>0</v>
      </c>
      <c r="X14" s="36">
        <f t="shared" ref="X14" si="88">IF(OR(AND(ISNUMBER(SEARCH("Installation",B14)),ISNUMBER(SEARCH("Mtr",D14))),AND(ISNUMBER(SEARCH("Installation",B14)),ISNUMBER(SEARCH("Rft",D14)))),N14*$X$10,IF(ISNUMBER(SEARCH("Installation",B14)),N14*5%,N14*0%))</f>
        <v>0</v>
      </c>
      <c r="Y14" s="36">
        <f>X14*C14</f>
        <v>0</v>
      </c>
      <c r="Z14" s="36">
        <f>IF(AND(ISNUMBER(SEARCH("Installation",B14)),ISNUMBER(SEARCH("Rft",D14))),N14*$Z$10,0)</f>
        <v>0</v>
      </c>
      <c r="AA14" s="36">
        <f t="shared" ref="AA14" si="89">Z14*C14</f>
        <v>0</v>
      </c>
      <c r="AB14" s="36">
        <f t="shared" ref="AB14" si="90">IF(OR(AND(ISNUMBER(SEARCH("Installation",B14)),ISNUMBER(SEARCH("Mtr",D14))),AND(ISNUMBER(SEARCH("Installation",B14)),ISNUMBER(SEARCH("Rft",D14)))),N14*$AB$10,0)</f>
        <v>0</v>
      </c>
      <c r="AC14" s="36">
        <f t="shared" ref="AC14" si="91">AB14*C14</f>
        <v>0</v>
      </c>
      <c r="AD14" s="36">
        <f t="shared" ref="AD14" si="92">IF(OR(AND(ISNUMBER(SEARCH("Installation",B14)),ISNUMBER(SEARCH("Mtr",D14))),AND(ISNUMBER(SEARCH("Installation",B14)),ISNUMBER(SEARCH("Rft",D14)))),N14*$AD$10,N14*0%)</f>
        <v>0</v>
      </c>
      <c r="AE14" s="36">
        <f t="shared" ref="AE14" si="93">AD14*C14</f>
        <v>0</v>
      </c>
      <c r="AF14" s="36">
        <f t="shared" ref="AF14" si="94">IF(ISNUMBER(SEARCH("Testing",B14)),N14*$AF$10,N14*0%)</f>
        <v>0</v>
      </c>
      <c r="AG14" s="36">
        <f t="shared" ref="AG14" si="95">AF14*C14</f>
        <v>0</v>
      </c>
      <c r="AH14" s="36">
        <f t="shared" ref="AH14" si="96">IF(ISNUMBER(SEARCH("Commissioning",B14)),N14*$AH$10,N14*0%)</f>
        <v>0</v>
      </c>
      <c r="AI14" s="36">
        <f t="shared" ref="AI14" si="97">AH14*C14</f>
        <v>0</v>
      </c>
      <c r="AJ14" s="36">
        <f t="shared" ref="AJ14" ca="1" si="98">N14+P14+R14+T14+V14+X14+Z14+AB14+AD14+AF14+AH14</f>
        <v>0</v>
      </c>
      <c r="AK14" s="36">
        <f t="shared" ref="AK14" ca="1" si="99">AJ14*C14</f>
        <v>0</v>
      </c>
      <c r="AL14" s="36">
        <f ca="1">IF(ISNUMBER(SEARCH("Supply",B14)),(N14+P14+R14+T14)*$AL$10,(N14+P14+R14+T14)*18%)</f>
        <v>0</v>
      </c>
      <c r="AM14" s="36">
        <f ca="1">AL14*C14</f>
        <v>0</v>
      </c>
      <c r="AN14" s="37">
        <f>IF(OR(ISNUMBER(SEARCH("Installation",B14)), ISNUMBER(SEARCH("Testing",B14)),ISNUMBER(SEARCH("Commissioning",B14)),),(V14+X14+Z14+AB14+AD14+AF14+AH14)*$AN$10, (V14+X14+Z14+AB14+AD14+AF14+AH14)*13%)</f>
        <v>0</v>
      </c>
      <c r="AO14" s="37">
        <f t="shared" ref="AO14" si="100">AN14*C14</f>
        <v>0</v>
      </c>
      <c r="AP14" s="37">
        <f t="shared" ref="AP14" ca="1" si="101">AJ14+AL14+AN14</f>
        <v>0</v>
      </c>
      <c r="AQ14" s="37">
        <f t="shared" ref="AQ14" ca="1" si="102">AP14*C14</f>
        <v>0</v>
      </c>
      <c r="AR14" s="37">
        <f t="shared" ref="AR14" ca="1" si="103">AP14/(100%-$AR$10)</f>
        <v>0</v>
      </c>
      <c r="AS14" s="29">
        <f t="shared" ref="AS14" ca="1" si="104">AR14*C14</f>
        <v>0</v>
      </c>
      <c r="AT14" s="37">
        <f t="shared" ref="AT14" ca="1" si="105">AR14/(100%-$AT$10)</f>
        <v>0</v>
      </c>
      <c r="AU14" s="29">
        <f t="shared" ref="AU14" ca="1" si="106">AT14*C14</f>
        <v>0</v>
      </c>
    </row>
    <row r="15" spans="1:47" ht="48.5" customHeight="1" x14ac:dyDescent="0.3">
      <c r="A15" s="79" t="s">
        <v>147</v>
      </c>
      <c r="B15" s="191" t="s">
        <v>172</v>
      </c>
      <c r="C15" s="84">
        <v>1</v>
      </c>
      <c r="D15" s="84" t="s">
        <v>145</v>
      </c>
      <c r="E15" s="73"/>
      <c r="F15" s="74">
        <f t="shared" ref="F15:F30" si="107">E15*C15</f>
        <v>0</v>
      </c>
      <c r="G15" s="73">
        <f>K15</f>
        <v>0</v>
      </c>
      <c r="H15" s="74">
        <f t="shared" ref="H15:H30" si="108">G15*C15</f>
        <v>0</v>
      </c>
      <c r="I15" s="80">
        <f t="shared" ref="I15:I30" si="109">H15+F15</f>
        <v>0</v>
      </c>
      <c r="J15" s="195" t="s">
        <v>144</v>
      </c>
      <c r="K15" s="33">
        <f>0</f>
        <v>0</v>
      </c>
      <c r="L15" s="197">
        <f ca="1">366.33+208.65+L2:L17</f>
        <v>0</v>
      </c>
      <c r="M15" s="34">
        <v>0</v>
      </c>
      <c r="N15" s="35">
        <f t="shared" ref="N15:N21" si="110">IF(M15&gt;0,M15*$N$10,K15)</f>
        <v>0</v>
      </c>
      <c r="O15" s="35">
        <f t="shared" si="35"/>
        <v>0</v>
      </c>
      <c r="P15" s="35">
        <f>IF(M15&gt;0,(N15*($P$10)+((1500*300*0)/COUNTIF($L$11:$L$9768,"&gt;0"))/$C15),0)</f>
        <v>0</v>
      </c>
      <c r="Q15" s="35">
        <f t="shared" ref="Q15:Q21" si="111">P15*C15</f>
        <v>0</v>
      </c>
      <c r="R15" s="35">
        <f t="shared" ref="R15:R21" si="112">N15*($R$10+1%)</f>
        <v>0</v>
      </c>
      <c r="S15" s="35">
        <f t="shared" ref="S15:S21" si="113">R15*C15</f>
        <v>0</v>
      </c>
      <c r="T15" s="35">
        <f t="shared" si="36"/>
        <v>0</v>
      </c>
      <c r="U15" s="35">
        <f t="shared" ref="U15:U21" si="114">T15*C15</f>
        <v>0</v>
      </c>
      <c r="V15" s="36">
        <f t="shared" si="37"/>
        <v>0</v>
      </c>
      <c r="W15" s="36">
        <f t="shared" si="38"/>
        <v>0</v>
      </c>
      <c r="X15" s="36">
        <f t="shared" si="39"/>
        <v>0</v>
      </c>
      <c r="Y15" s="36">
        <f t="shared" ref="Y15:Y21" si="115">X15*C15</f>
        <v>0</v>
      </c>
      <c r="Z15" s="36">
        <f t="shared" ref="Z15:Z21" si="116">IF(AND(ISNUMBER(SEARCH("Installation",B15)),ISNUMBER(SEARCH("Rft",D15))),N15*$Z$10,0)</f>
        <v>0</v>
      </c>
      <c r="AA15" s="36">
        <f t="shared" si="40"/>
        <v>0</v>
      </c>
      <c r="AB15" s="36">
        <f t="shared" si="41"/>
        <v>0</v>
      </c>
      <c r="AC15" s="36">
        <f t="shared" si="42"/>
        <v>0</v>
      </c>
      <c r="AD15" s="36">
        <f t="shared" si="43"/>
        <v>0</v>
      </c>
      <c r="AE15" s="36">
        <f t="shared" si="44"/>
        <v>0</v>
      </c>
      <c r="AF15" s="36">
        <f t="shared" si="14"/>
        <v>0</v>
      </c>
      <c r="AG15" s="36">
        <f t="shared" si="45"/>
        <v>0</v>
      </c>
      <c r="AH15" s="36">
        <f t="shared" si="16"/>
        <v>0</v>
      </c>
      <c r="AI15" s="36">
        <f t="shared" si="46"/>
        <v>0</v>
      </c>
      <c r="AJ15" s="36">
        <f t="shared" si="47"/>
        <v>0</v>
      </c>
      <c r="AK15" s="36">
        <f t="shared" si="48"/>
        <v>0</v>
      </c>
      <c r="AL15" s="36">
        <f t="shared" ref="AL15:AL21" si="117">IF(ISNUMBER(SEARCH("Supply",B15)),(N15+P15+R15+T15)*$AL$10,(N15+P15+R15+T15)*0%)</f>
        <v>0</v>
      </c>
      <c r="AM15" s="36">
        <f t="shared" ref="AM15:AM21" si="118">AL15*C15</f>
        <v>0</v>
      </c>
      <c r="AN15" s="37">
        <f t="shared" ref="AN15:AN21" si="119">IF(OR(ISNUMBER(SEARCH("Installation",B15)), ISNUMBER(SEARCH("Testing",B15)),ISNUMBER(SEARCH("Commissioning",B15)),),(V15+X15+Z15+AB15+AD15+AF15+AH15)*$AN$10, (V15+X15+Z15+AB15+AD15+AF15+AH15)*0%)</f>
        <v>0</v>
      </c>
      <c r="AO15" s="37">
        <f t="shared" si="49"/>
        <v>0</v>
      </c>
      <c r="AP15" s="37">
        <f t="shared" si="50"/>
        <v>0</v>
      </c>
      <c r="AQ15" s="37">
        <f>AP15*C15</f>
        <v>0</v>
      </c>
      <c r="AR15" s="37">
        <f t="shared" si="52"/>
        <v>0</v>
      </c>
      <c r="AS15" s="29">
        <f t="shared" si="53"/>
        <v>0</v>
      </c>
      <c r="AT15" s="37">
        <f t="shared" si="54"/>
        <v>0</v>
      </c>
      <c r="AU15" s="29">
        <f t="shared" si="55"/>
        <v>0</v>
      </c>
    </row>
    <row r="16" spans="1:47" ht="71" customHeight="1" x14ac:dyDescent="0.3">
      <c r="A16" s="79" t="s">
        <v>148</v>
      </c>
      <c r="B16" s="198" t="s">
        <v>190</v>
      </c>
      <c r="C16" s="81">
        <v>8</v>
      </c>
      <c r="D16" s="82" t="s">
        <v>145</v>
      </c>
      <c r="E16" s="194"/>
      <c r="F16" s="74">
        <f>E16*C16</f>
        <v>0</v>
      </c>
      <c r="G16" s="73">
        <f>0</f>
        <v>0</v>
      </c>
      <c r="H16" s="74">
        <f t="shared" si="108"/>
        <v>0</v>
      </c>
      <c r="I16" s="80"/>
      <c r="J16" s="195" t="s">
        <v>187</v>
      </c>
      <c r="K16" s="33">
        <f>0</f>
        <v>0</v>
      </c>
      <c r="L16" s="197">
        <v>38.47</v>
      </c>
      <c r="M16" s="34">
        <f t="shared" si="33"/>
        <v>11541</v>
      </c>
      <c r="N16" s="35">
        <f t="shared" si="110"/>
        <v>6924.5999999999995</v>
      </c>
      <c r="O16" s="35">
        <f t="shared" si="35"/>
        <v>55396.799999999996</v>
      </c>
      <c r="P16" s="35">
        <f ca="1">IF(M16&gt;0,(N16*($P$10)+((1500*300*0)/COUNTIF($L$11:$L$9768,"&gt;0"))/$C16),0)</f>
        <v>952.13250000000005</v>
      </c>
      <c r="Q16" s="35">
        <f t="shared" ca="1" si="111"/>
        <v>7617.06</v>
      </c>
      <c r="R16" s="35">
        <f t="shared" si="112"/>
        <v>138.49199999999999</v>
      </c>
      <c r="S16" s="35">
        <f t="shared" si="113"/>
        <v>1107.9359999999999</v>
      </c>
      <c r="T16" s="35">
        <f t="shared" si="36"/>
        <v>1038.6899999999998</v>
      </c>
      <c r="U16" s="35">
        <f t="shared" si="114"/>
        <v>8309.5199999999986</v>
      </c>
      <c r="V16" s="36">
        <f t="shared" si="37"/>
        <v>0</v>
      </c>
      <c r="W16" s="36">
        <f t="shared" si="38"/>
        <v>0</v>
      </c>
      <c r="X16" s="36">
        <f t="shared" si="39"/>
        <v>0</v>
      </c>
      <c r="Y16" s="36">
        <f t="shared" si="115"/>
        <v>0</v>
      </c>
      <c r="Z16" s="36">
        <f t="shared" si="116"/>
        <v>0</v>
      </c>
      <c r="AA16" s="36">
        <f t="shared" si="40"/>
        <v>0</v>
      </c>
      <c r="AB16" s="36">
        <f t="shared" si="41"/>
        <v>0</v>
      </c>
      <c r="AC16" s="36">
        <f t="shared" si="42"/>
        <v>0</v>
      </c>
      <c r="AD16" s="36">
        <f t="shared" si="43"/>
        <v>0</v>
      </c>
      <c r="AE16" s="36">
        <f t="shared" si="44"/>
        <v>0</v>
      </c>
      <c r="AF16" s="36">
        <f t="shared" si="14"/>
        <v>0</v>
      </c>
      <c r="AG16" s="36">
        <f t="shared" si="45"/>
        <v>0</v>
      </c>
      <c r="AH16" s="36">
        <f t="shared" si="16"/>
        <v>0</v>
      </c>
      <c r="AI16" s="36">
        <f t="shared" si="46"/>
        <v>0</v>
      </c>
      <c r="AJ16" s="36">
        <f t="shared" ca="1" si="47"/>
        <v>9053.914499999999</v>
      </c>
      <c r="AK16" s="36">
        <f t="shared" ca="1" si="48"/>
        <v>72431.315999999992</v>
      </c>
      <c r="AL16" s="36">
        <f t="shared" ca="1" si="117"/>
        <v>0</v>
      </c>
      <c r="AM16" s="36">
        <f t="shared" ca="1" si="118"/>
        <v>0</v>
      </c>
      <c r="AN16" s="37">
        <f t="shared" si="119"/>
        <v>0</v>
      </c>
      <c r="AO16" s="37">
        <f t="shared" si="49"/>
        <v>0</v>
      </c>
      <c r="AP16" s="37">
        <f t="shared" ca="1" si="50"/>
        <v>9053.914499999999</v>
      </c>
      <c r="AQ16" s="37">
        <f t="shared" ref="AQ16:AQ21" ca="1" si="120">AP16*C16</f>
        <v>72431.315999999992</v>
      </c>
      <c r="AR16" s="37">
        <f t="shared" ca="1" si="52"/>
        <v>9053.914499999999</v>
      </c>
      <c r="AS16" s="29">
        <f t="shared" ca="1" si="53"/>
        <v>72431.315999999992</v>
      </c>
      <c r="AT16" s="37">
        <f t="shared" ca="1" si="54"/>
        <v>9053.914499999999</v>
      </c>
      <c r="AU16" s="29">
        <f t="shared" ca="1" si="55"/>
        <v>72431.315999999992</v>
      </c>
    </row>
    <row r="17" spans="1:47" ht="76.5" customHeight="1" x14ac:dyDescent="0.3">
      <c r="A17" s="79" t="s">
        <v>149</v>
      </c>
      <c r="B17" s="85" t="s">
        <v>173</v>
      </c>
      <c r="C17" s="84">
        <v>8</v>
      </c>
      <c r="D17" s="84" t="s">
        <v>167</v>
      </c>
      <c r="E17" s="73"/>
      <c r="F17" s="74">
        <f t="shared" si="107"/>
        <v>0</v>
      </c>
      <c r="G17" s="73">
        <f>0</f>
        <v>0</v>
      </c>
      <c r="H17" s="74">
        <f t="shared" si="108"/>
        <v>0</v>
      </c>
      <c r="I17" s="80">
        <f t="shared" si="109"/>
        <v>0</v>
      </c>
      <c r="J17" s="195" t="s">
        <v>144</v>
      </c>
      <c r="K17" s="33">
        <f>0</f>
        <v>0</v>
      </c>
      <c r="L17" s="197"/>
      <c r="M17" s="34">
        <f t="shared" si="33"/>
        <v>0</v>
      </c>
      <c r="N17" s="35">
        <f t="shared" si="110"/>
        <v>0</v>
      </c>
      <c r="O17" s="35">
        <f t="shared" si="35"/>
        <v>0</v>
      </c>
      <c r="P17" s="35">
        <f>IF(M17&gt;0,(N17*($P$10)+((1500*300*0)/COUNTIF($L$11:$L$9768,"&gt;0"))/$C17),0)</f>
        <v>0</v>
      </c>
      <c r="Q17" s="35">
        <f t="shared" si="111"/>
        <v>0</v>
      </c>
      <c r="R17" s="35">
        <f t="shared" si="112"/>
        <v>0</v>
      </c>
      <c r="S17" s="35">
        <f t="shared" si="113"/>
        <v>0</v>
      </c>
      <c r="T17" s="35">
        <f t="shared" si="36"/>
        <v>0</v>
      </c>
      <c r="U17" s="35">
        <f t="shared" si="114"/>
        <v>0</v>
      </c>
      <c r="V17" s="36">
        <f t="shared" si="37"/>
        <v>0</v>
      </c>
      <c r="W17" s="36">
        <f t="shared" si="38"/>
        <v>0</v>
      </c>
      <c r="X17" s="36">
        <f t="shared" si="39"/>
        <v>0</v>
      </c>
      <c r="Y17" s="36">
        <f t="shared" si="115"/>
        <v>0</v>
      </c>
      <c r="Z17" s="36">
        <f t="shared" si="116"/>
        <v>0</v>
      </c>
      <c r="AA17" s="36">
        <f t="shared" si="40"/>
        <v>0</v>
      </c>
      <c r="AB17" s="36">
        <f t="shared" si="41"/>
        <v>0</v>
      </c>
      <c r="AC17" s="36">
        <f t="shared" si="42"/>
        <v>0</v>
      </c>
      <c r="AD17" s="36">
        <f t="shared" si="43"/>
        <v>0</v>
      </c>
      <c r="AE17" s="36">
        <f t="shared" si="44"/>
        <v>0</v>
      </c>
      <c r="AF17" s="36">
        <f t="shared" si="14"/>
        <v>0</v>
      </c>
      <c r="AG17" s="36">
        <f t="shared" si="45"/>
        <v>0</v>
      </c>
      <c r="AH17" s="36">
        <f t="shared" si="16"/>
        <v>0</v>
      </c>
      <c r="AI17" s="36">
        <f t="shared" si="46"/>
        <v>0</v>
      </c>
      <c r="AJ17" s="36">
        <f t="shared" si="47"/>
        <v>0</v>
      </c>
      <c r="AK17" s="36">
        <f t="shared" si="48"/>
        <v>0</v>
      </c>
      <c r="AL17" s="36">
        <f t="shared" si="117"/>
        <v>0</v>
      </c>
      <c r="AM17" s="36">
        <f t="shared" si="118"/>
        <v>0</v>
      </c>
      <c r="AN17" s="37">
        <f t="shared" si="119"/>
        <v>0</v>
      </c>
      <c r="AO17" s="37">
        <f t="shared" si="49"/>
        <v>0</v>
      </c>
      <c r="AP17" s="37">
        <f t="shared" si="50"/>
        <v>0</v>
      </c>
      <c r="AQ17" s="37">
        <f t="shared" si="120"/>
        <v>0</v>
      </c>
      <c r="AR17" s="37">
        <f t="shared" si="52"/>
        <v>0</v>
      </c>
      <c r="AS17" s="29">
        <f t="shared" si="53"/>
        <v>0</v>
      </c>
      <c r="AT17" s="37">
        <f t="shared" si="54"/>
        <v>0</v>
      </c>
      <c r="AU17" s="29">
        <f t="shared" si="55"/>
        <v>0</v>
      </c>
    </row>
    <row r="18" spans="1:47" ht="69.5" customHeight="1" x14ac:dyDescent="0.3">
      <c r="A18" s="79" t="s">
        <v>150</v>
      </c>
      <c r="B18" s="85" t="s">
        <v>174</v>
      </c>
      <c r="C18" s="84">
        <v>10</v>
      </c>
      <c r="D18" s="84" t="s">
        <v>167</v>
      </c>
      <c r="E18" s="73"/>
      <c r="F18" s="74">
        <f t="shared" si="107"/>
        <v>0</v>
      </c>
      <c r="G18" s="73">
        <f>0</f>
        <v>0</v>
      </c>
      <c r="H18" s="74">
        <f t="shared" si="108"/>
        <v>0</v>
      </c>
      <c r="I18" s="80">
        <f t="shared" si="109"/>
        <v>0</v>
      </c>
      <c r="J18" s="195" t="s">
        <v>144</v>
      </c>
      <c r="K18" s="33">
        <f>0</f>
        <v>0</v>
      </c>
      <c r="L18" s="197"/>
      <c r="M18" s="34">
        <f t="shared" si="33"/>
        <v>0</v>
      </c>
      <c r="N18" s="35">
        <f t="shared" si="110"/>
        <v>0</v>
      </c>
      <c r="O18" s="35">
        <f t="shared" si="35"/>
        <v>0</v>
      </c>
      <c r="P18" s="35">
        <f>IF(M18&gt;0,(N18*($P$10)+((1500*300*0)/COUNTIF($L$11:$L$9768,"&gt;0"))/$C18),0)</f>
        <v>0</v>
      </c>
      <c r="Q18" s="35">
        <f t="shared" si="111"/>
        <v>0</v>
      </c>
      <c r="R18" s="35">
        <f t="shared" si="112"/>
        <v>0</v>
      </c>
      <c r="S18" s="35">
        <f t="shared" si="113"/>
        <v>0</v>
      </c>
      <c r="T18" s="35">
        <f t="shared" si="36"/>
        <v>0</v>
      </c>
      <c r="U18" s="35">
        <f t="shared" si="114"/>
        <v>0</v>
      </c>
      <c r="V18" s="36">
        <f t="shared" si="37"/>
        <v>0</v>
      </c>
      <c r="W18" s="36">
        <f t="shared" si="38"/>
        <v>0</v>
      </c>
      <c r="X18" s="36">
        <f t="shared" si="39"/>
        <v>0</v>
      </c>
      <c r="Y18" s="36">
        <f t="shared" si="115"/>
        <v>0</v>
      </c>
      <c r="Z18" s="36">
        <f t="shared" si="116"/>
        <v>0</v>
      </c>
      <c r="AA18" s="36">
        <f t="shared" si="40"/>
        <v>0</v>
      </c>
      <c r="AB18" s="36">
        <f t="shared" si="41"/>
        <v>0</v>
      </c>
      <c r="AC18" s="36">
        <f t="shared" si="42"/>
        <v>0</v>
      </c>
      <c r="AD18" s="36">
        <f t="shared" si="43"/>
        <v>0</v>
      </c>
      <c r="AE18" s="36">
        <f t="shared" si="44"/>
        <v>0</v>
      </c>
      <c r="AF18" s="36">
        <f t="shared" si="14"/>
        <v>0</v>
      </c>
      <c r="AG18" s="36">
        <f t="shared" si="45"/>
        <v>0</v>
      </c>
      <c r="AH18" s="36">
        <f t="shared" si="16"/>
        <v>0</v>
      </c>
      <c r="AI18" s="36">
        <f t="shared" si="46"/>
        <v>0</v>
      </c>
      <c r="AJ18" s="36">
        <f t="shared" si="47"/>
        <v>0</v>
      </c>
      <c r="AK18" s="36">
        <f t="shared" si="48"/>
        <v>0</v>
      </c>
      <c r="AL18" s="36">
        <f t="shared" si="117"/>
        <v>0</v>
      </c>
      <c r="AM18" s="36">
        <f t="shared" si="118"/>
        <v>0</v>
      </c>
      <c r="AN18" s="37">
        <f t="shared" si="119"/>
        <v>0</v>
      </c>
      <c r="AO18" s="37">
        <f t="shared" si="49"/>
        <v>0</v>
      </c>
      <c r="AP18" s="37">
        <f t="shared" si="50"/>
        <v>0</v>
      </c>
      <c r="AQ18" s="37">
        <f t="shared" si="120"/>
        <v>0</v>
      </c>
      <c r="AR18" s="37">
        <f t="shared" si="52"/>
        <v>0</v>
      </c>
      <c r="AS18" s="29">
        <f t="shared" si="53"/>
        <v>0</v>
      </c>
      <c r="AT18" s="37">
        <f t="shared" si="54"/>
        <v>0</v>
      </c>
      <c r="AU18" s="29">
        <f t="shared" si="55"/>
        <v>0</v>
      </c>
    </row>
    <row r="19" spans="1:47" ht="46.5" customHeight="1" x14ac:dyDescent="0.3">
      <c r="A19" s="79" t="s">
        <v>151</v>
      </c>
      <c r="B19" s="85" t="s">
        <v>175</v>
      </c>
      <c r="C19" s="84">
        <v>11</v>
      </c>
      <c r="D19" s="84" t="s">
        <v>167</v>
      </c>
      <c r="E19" s="73"/>
      <c r="F19" s="74">
        <f t="shared" si="107"/>
        <v>0</v>
      </c>
      <c r="G19" s="73">
        <f>0</f>
        <v>0</v>
      </c>
      <c r="H19" s="74">
        <f t="shared" si="108"/>
        <v>0</v>
      </c>
      <c r="I19" s="80">
        <f t="shared" si="109"/>
        <v>0</v>
      </c>
      <c r="J19" s="195" t="s">
        <v>144</v>
      </c>
      <c r="K19" s="33">
        <f>0</f>
        <v>0</v>
      </c>
      <c r="L19" s="197"/>
      <c r="M19" s="34">
        <f t="shared" si="33"/>
        <v>0</v>
      </c>
      <c r="N19" s="35">
        <f t="shared" si="110"/>
        <v>0</v>
      </c>
      <c r="O19" s="35">
        <f t="shared" si="35"/>
        <v>0</v>
      </c>
      <c r="P19" s="35">
        <f>IF(M19&gt;0,(N19*($P$10)+((1500*300*0)/COUNTIF($L$11:$L$9768,"&gt;0"))/$C19),0)</f>
        <v>0</v>
      </c>
      <c r="Q19" s="35">
        <f t="shared" si="111"/>
        <v>0</v>
      </c>
      <c r="R19" s="35">
        <f t="shared" si="112"/>
        <v>0</v>
      </c>
      <c r="S19" s="35">
        <f t="shared" si="113"/>
        <v>0</v>
      </c>
      <c r="T19" s="35">
        <f t="shared" si="36"/>
        <v>0</v>
      </c>
      <c r="U19" s="35">
        <f t="shared" si="114"/>
        <v>0</v>
      </c>
      <c r="V19" s="36">
        <f t="shared" si="37"/>
        <v>0</v>
      </c>
      <c r="W19" s="36">
        <f t="shared" si="38"/>
        <v>0</v>
      </c>
      <c r="X19" s="36">
        <f t="shared" si="39"/>
        <v>0</v>
      </c>
      <c r="Y19" s="36">
        <f t="shared" si="115"/>
        <v>0</v>
      </c>
      <c r="Z19" s="36">
        <f t="shared" si="116"/>
        <v>0</v>
      </c>
      <c r="AA19" s="36">
        <f t="shared" si="40"/>
        <v>0</v>
      </c>
      <c r="AB19" s="36">
        <f t="shared" si="41"/>
        <v>0</v>
      </c>
      <c r="AC19" s="36">
        <f t="shared" si="42"/>
        <v>0</v>
      </c>
      <c r="AD19" s="36">
        <f t="shared" si="43"/>
        <v>0</v>
      </c>
      <c r="AE19" s="36">
        <f t="shared" si="44"/>
        <v>0</v>
      </c>
      <c r="AF19" s="36">
        <f t="shared" si="14"/>
        <v>0</v>
      </c>
      <c r="AG19" s="36">
        <f t="shared" si="45"/>
        <v>0</v>
      </c>
      <c r="AH19" s="36">
        <f t="shared" si="16"/>
        <v>0</v>
      </c>
      <c r="AI19" s="36">
        <f t="shared" si="46"/>
        <v>0</v>
      </c>
      <c r="AJ19" s="36">
        <f t="shared" si="47"/>
        <v>0</v>
      </c>
      <c r="AK19" s="36">
        <f t="shared" si="48"/>
        <v>0</v>
      </c>
      <c r="AL19" s="36">
        <f t="shared" si="117"/>
        <v>0</v>
      </c>
      <c r="AM19" s="36">
        <f t="shared" si="118"/>
        <v>0</v>
      </c>
      <c r="AN19" s="37">
        <f t="shared" si="119"/>
        <v>0</v>
      </c>
      <c r="AO19" s="37">
        <f t="shared" si="49"/>
        <v>0</v>
      </c>
      <c r="AP19" s="37">
        <f t="shared" si="50"/>
        <v>0</v>
      </c>
      <c r="AQ19" s="37">
        <f t="shared" si="120"/>
        <v>0</v>
      </c>
      <c r="AR19" s="37">
        <f t="shared" si="52"/>
        <v>0</v>
      </c>
      <c r="AS19" s="29">
        <f t="shared" si="53"/>
        <v>0</v>
      </c>
      <c r="AT19" s="37">
        <f t="shared" si="54"/>
        <v>0</v>
      </c>
      <c r="AU19" s="29">
        <f t="shared" si="55"/>
        <v>0</v>
      </c>
    </row>
    <row r="20" spans="1:47" ht="119.5" customHeight="1" x14ac:dyDescent="0.3">
      <c r="A20" s="79"/>
      <c r="B20" s="85" t="s">
        <v>191</v>
      </c>
      <c r="C20" s="84">
        <v>23</v>
      </c>
      <c r="D20" s="84" t="s">
        <v>145</v>
      </c>
      <c r="E20" s="73"/>
      <c r="F20" s="74"/>
      <c r="G20" s="73"/>
      <c r="H20" s="74"/>
      <c r="I20" s="80"/>
      <c r="J20" s="66"/>
      <c r="K20" s="33">
        <f>0</f>
        <v>0</v>
      </c>
      <c r="L20" s="197">
        <v>15.08</v>
      </c>
      <c r="M20" s="34">
        <f>L20*M10</f>
        <v>4524</v>
      </c>
      <c r="N20" s="35">
        <f t="shared" si="110"/>
        <v>2714.4</v>
      </c>
      <c r="O20" s="35">
        <f t="shared" si="35"/>
        <v>62431.200000000004</v>
      </c>
      <c r="P20" s="35" t="e">
        <f ca="1">IF(M20&gt;0,(N20*($P$10)+((1500*300*0)/COUNTIF($L$11:$L$9768,"&gt;0"))/$C20),0)</f>
        <v>#VALUE!</v>
      </c>
      <c r="Q20" s="35" t="e">
        <f t="shared" ca="1" si="111"/>
        <v>#VALUE!</v>
      </c>
      <c r="R20" s="35">
        <f t="shared" si="112"/>
        <v>54.288000000000004</v>
      </c>
      <c r="S20" s="35">
        <f t="shared" si="113"/>
        <v>1248.624</v>
      </c>
      <c r="T20" s="35">
        <f t="shared" si="36"/>
        <v>407.16</v>
      </c>
      <c r="U20" s="35">
        <f t="shared" si="114"/>
        <v>9364.68</v>
      </c>
      <c r="V20" s="36">
        <f t="shared" si="37"/>
        <v>0</v>
      </c>
      <c r="W20" s="36">
        <f t="shared" si="38"/>
        <v>0</v>
      </c>
      <c r="X20" s="36">
        <f t="shared" si="39"/>
        <v>0</v>
      </c>
      <c r="Y20" s="36">
        <f t="shared" si="115"/>
        <v>0</v>
      </c>
      <c r="Z20" s="36">
        <f t="shared" si="116"/>
        <v>0</v>
      </c>
      <c r="AA20" s="36">
        <f t="shared" si="40"/>
        <v>0</v>
      </c>
      <c r="AB20" s="36">
        <f t="shared" si="41"/>
        <v>0</v>
      </c>
      <c r="AC20" s="36">
        <f t="shared" si="42"/>
        <v>0</v>
      </c>
      <c r="AD20" s="36">
        <f t="shared" si="43"/>
        <v>0</v>
      </c>
      <c r="AE20" s="36">
        <f t="shared" si="44"/>
        <v>0</v>
      </c>
      <c r="AF20" s="36">
        <f t="shared" si="14"/>
        <v>0</v>
      </c>
      <c r="AG20" s="36">
        <f t="shared" si="45"/>
        <v>0</v>
      </c>
      <c r="AH20" s="36">
        <f t="shared" si="16"/>
        <v>0</v>
      </c>
      <c r="AI20" s="36">
        <f t="shared" si="46"/>
        <v>0</v>
      </c>
      <c r="AJ20" s="36" t="e">
        <f t="shared" ca="1" si="47"/>
        <v>#VALUE!</v>
      </c>
      <c r="AK20" s="36" t="e">
        <f t="shared" ca="1" si="48"/>
        <v>#VALUE!</v>
      </c>
      <c r="AL20" s="36" t="e">
        <f t="shared" ca="1" si="117"/>
        <v>#VALUE!</v>
      </c>
      <c r="AM20" s="36" t="e">
        <f t="shared" ca="1" si="118"/>
        <v>#VALUE!</v>
      </c>
      <c r="AN20" s="37">
        <f t="shared" si="119"/>
        <v>0</v>
      </c>
      <c r="AO20" s="37">
        <f t="shared" si="49"/>
        <v>0</v>
      </c>
      <c r="AP20" s="37" t="e">
        <f t="shared" ca="1" si="50"/>
        <v>#VALUE!</v>
      </c>
      <c r="AQ20" s="37" t="e">
        <f t="shared" ca="1" si="120"/>
        <v>#VALUE!</v>
      </c>
      <c r="AR20" s="37" t="e">
        <f t="shared" ca="1" si="52"/>
        <v>#VALUE!</v>
      </c>
      <c r="AS20" s="29" t="e">
        <f t="shared" ca="1" si="53"/>
        <v>#VALUE!</v>
      </c>
      <c r="AT20" s="37" t="e">
        <f t="shared" ca="1" si="54"/>
        <v>#VALUE!</v>
      </c>
      <c r="AU20" s="29" t="e">
        <f t="shared" ca="1" si="55"/>
        <v>#VALUE!</v>
      </c>
    </row>
    <row r="21" spans="1:47" ht="118" customHeight="1" x14ac:dyDescent="0.3">
      <c r="A21" s="79"/>
      <c r="B21" s="85" t="s">
        <v>189</v>
      </c>
      <c r="C21" s="84">
        <v>19</v>
      </c>
      <c r="D21" s="84" t="s">
        <v>145</v>
      </c>
      <c r="E21" s="73"/>
      <c r="F21" s="74"/>
      <c r="G21" s="73"/>
      <c r="H21" s="74"/>
      <c r="I21" s="80"/>
      <c r="J21" s="66"/>
      <c r="K21" s="33">
        <f>0</f>
        <v>0</v>
      </c>
      <c r="L21" s="197">
        <v>15.08</v>
      </c>
      <c r="M21" s="34">
        <f>L21*M10</f>
        <v>4524</v>
      </c>
      <c r="N21" s="35">
        <f t="shared" si="110"/>
        <v>2714.4</v>
      </c>
      <c r="O21" s="35">
        <f t="shared" si="35"/>
        <v>51573.599999999999</v>
      </c>
      <c r="P21" s="35" t="e">
        <f ca="1">IF(M21&gt;0,(N21*($P$10)+((1500*300*0)/COUNTIF($L$11:$L$9768,"&gt;0"))/$C21),0)</f>
        <v>#VALUE!</v>
      </c>
      <c r="Q21" s="35" t="e">
        <f t="shared" ca="1" si="111"/>
        <v>#VALUE!</v>
      </c>
      <c r="R21" s="35">
        <f t="shared" si="112"/>
        <v>54.288000000000004</v>
      </c>
      <c r="S21" s="35">
        <f t="shared" si="113"/>
        <v>1031.472</v>
      </c>
      <c r="T21" s="35">
        <f t="shared" si="36"/>
        <v>407.16</v>
      </c>
      <c r="U21" s="35">
        <f t="shared" si="114"/>
        <v>7736.0400000000009</v>
      </c>
      <c r="V21" s="36">
        <f t="shared" si="37"/>
        <v>0</v>
      </c>
      <c r="W21" s="36">
        <f t="shared" si="38"/>
        <v>0</v>
      </c>
      <c r="X21" s="36">
        <f t="shared" si="39"/>
        <v>0</v>
      </c>
      <c r="Y21" s="36">
        <f t="shared" si="115"/>
        <v>0</v>
      </c>
      <c r="Z21" s="36">
        <f t="shared" si="116"/>
        <v>0</v>
      </c>
      <c r="AA21" s="36">
        <f t="shared" si="40"/>
        <v>0</v>
      </c>
      <c r="AB21" s="36">
        <f t="shared" si="41"/>
        <v>0</v>
      </c>
      <c r="AC21" s="36">
        <f t="shared" si="42"/>
        <v>0</v>
      </c>
      <c r="AD21" s="36">
        <f t="shared" si="43"/>
        <v>0</v>
      </c>
      <c r="AE21" s="36">
        <f t="shared" si="44"/>
        <v>0</v>
      </c>
      <c r="AF21" s="36">
        <f t="shared" si="14"/>
        <v>0</v>
      </c>
      <c r="AG21" s="36">
        <f t="shared" si="45"/>
        <v>0</v>
      </c>
      <c r="AH21" s="36">
        <f t="shared" si="16"/>
        <v>0</v>
      </c>
      <c r="AI21" s="36">
        <f t="shared" si="46"/>
        <v>0</v>
      </c>
      <c r="AJ21" s="36" t="e">
        <f t="shared" ca="1" si="47"/>
        <v>#VALUE!</v>
      </c>
      <c r="AK21" s="36" t="e">
        <f t="shared" ca="1" si="48"/>
        <v>#VALUE!</v>
      </c>
      <c r="AL21" s="36" t="e">
        <f t="shared" ca="1" si="117"/>
        <v>#VALUE!</v>
      </c>
      <c r="AM21" s="36" t="e">
        <f t="shared" ca="1" si="118"/>
        <v>#VALUE!</v>
      </c>
      <c r="AN21" s="37">
        <f t="shared" si="119"/>
        <v>0</v>
      </c>
      <c r="AO21" s="37">
        <f t="shared" si="49"/>
        <v>0</v>
      </c>
      <c r="AP21" s="37" t="e">
        <f t="shared" ca="1" si="50"/>
        <v>#VALUE!</v>
      </c>
      <c r="AQ21" s="37" t="e">
        <f t="shared" ca="1" si="120"/>
        <v>#VALUE!</v>
      </c>
      <c r="AR21" s="37" t="e">
        <f t="shared" ca="1" si="52"/>
        <v>#VALUE!</v>
      </c>
      <c r="AS21" s="29" t="e">
        <f t="shared" ca="1" si="53"/>
        <v>#VALUE!</v>
      </c>
      <c r="AT21" s="37" t="e">
        <f t="shared" ca="1" si="54"/>
        <v>#VALUE!</v>
      </c>
      <c r="AU21" s="29" t="e">
        <f t="shared" ca="1" si="55"/>
        <v>#VALUE!</v>
      </c>
    </row>
    <row r="22" spans="1:47" ht="127" customHeight="1" x14ac:dyDescent="0.3">
      <c r="A22" s="79"/>
      <c r="B22" s="83" t="s">
        <v>195</v>
      </c>
      <c r="C22" s="84">
        <v>8</v>
      </c>
      <c r="D22" s="84" t="s">
        <v>145</v>
      </c>
      <c r="E22" s="73"/>
      <c r="F22" s="74"/>
      <c r="G22" s="73"/>
      <c r="H22" s="74"/>
      <c r="I22" s="80"/>
      <c r="J22" s="66"/>
      <c r="K22" s="33">
        <f>0</f>
        <v>0</v>
      </c>
      <c r="L22" s="199" t="s">
        <v>196</v>
      </c>
      <c r="M22" s="34"/>
      <c r="N22" s="35"/>
      <c r="O22" s="35"/>
      <c r="P22" s="35"/>
      <c r="Q22" s="35"/>
      <c r="R22" s="35"/>
      <c r="S22" s="35"/>
      <c r="T22" s="35"/>
      <c r="U22" s="35"/>
      <c r="V22" s="36"/>
      <c r="W22" s="36"/>
      <c r="X22" s="36"/>
      <c r="Y22" s="36"/>
      <c r="Z22" s="36"/>
      <c r="AA22" s="36"/>
      <c r="AB22" s="36"/>
      <c r="AC22" s="36"/>
      <c r="AD22" s="36"/>
      <c r="AE22" s="36"/>
      <c r="AF22" s="36"/>
      <c r="AG22" s="36"/>
      <c r="AH22" s="36"/>
      <c r="AI22" s="36"/>
      <c r="AJ22" s="36"/>
      <c r="AK22" s="36"/>
      <c r="AL22" s="36"/>
      <c r="AM22" s="36"/>
      <c r="AN22" s="37"/>
      <c r="AO22" s="37"/>
      <c r="AP22" s="37"/>
      <c r="AQ22" s="37"/>
      <c r="AR22" s="37"/>
      <c r="AS22" s="29"/>
      <c r="AT22" s="37"/>
      <c r="AU22" s="29"/>
    </row>
    <row r="23" spans="1:47" ht="138" customHeight="1" x14ac:dyDescent="0.3">
      <c r="A23" s="79"/>
      <c r="B23" s="85" t="s">
        <v>193</v>
      </c>
      <c r="C23" s="84">
        <v>16</v>
      </c>
      <c r="D23" s="84" t="s">
        <v>145</v>
      </c>
      <c r="E23" s="73"/>
      <c r="F23" s="74"/>
      <c r="G23" s="73"/>
      <c r="H23" s="74"/>
      <c r="I23" s="80"/>
      <c r="J23" s="66"/>
      <c r="K23" s="33">
        <f>0</f>
        <v>0</v>
      </c>
      <c r="L23" s="197">
        <v>15.08</v>
      </c>
      <c r="M23" s="34">
        <f>L23*M10</f>
        <v>4524</v>
      </c>
      <c r="N23" s="35"/>
      <c r="O23" s="35"/>
      <c r="P23" s="35"/>
      <c r="Q23" s="35"/>
      <c r="R23" s="35"/>
      <c r="S23" s="35"/>
      <c r="T23" s="35"/>
      <c r="U23" s="35"/>
      <c r="V23" s="36"/>
      <c r="W23" s="36"/>
      <c r="X23" s="36"/>
      <c r="Y23" s="36"/>
      <c r="Z23" s="36"/>
      <c r="AA23" s="36"/>
      <c r="AB23" s="36"/>
      <c r="AC23" s="36"/>
      <c r="AD23" s="36"/>
      <c r="AE23" s="36"/>
      <c r="AF23" s="36"/>
      <c r="AG23" s="36"/>
      <c r="AH23" s="36"/>
      <c r="AI23" s="36"/>
      <c r="AJ23" s="36"/>
      <c r="AK23" s="36"/>
      <c r="AL23" s="36"/>
      <c r="AM23" s="36"/>
      <c r="AN23" s="37"/>
      <c r="AO23" s="37"/>
      <c r="AP23" s="37"/>
      <c r="AQ23" s="37"/>
      <c r="AR23" s="37"/>
      <c r="AS23" s="29"/>
      <c r="AT23" s="37"/>
      <c r="AU23" s="29"/>
    </row>
    <row r="24" spans="1:47" ht="138.5" customHeight="1" x14ac:dyDescent="0.3">
      <c r="A24" s="79"/>
      <c r="B24" s="85" t="s">
        <v>194</v>
      </c>
      <c r="C24" s="84">
        <v>16</v>
      </c>
      <c r="D24" s="84" t="s">
        <v>145</v>
      </c>
      <c r="E24" s="73"/>
      <c r="F24" s="74"/>
      <c r="G24" s="73"/>
      <c r="H24" s="74"/>
      <c r="I24" s="80"/>
      <c r="J24" s="66"/>
      <c r="K24" s="33">
        <f>0</f>
        <v>0</v>
      </c>
      <c r="L24" s="197">
        <v>15.08</v>
      </c>
      <c r="M24" s="34">
        <f>L24*M10</f>
        <v>4524</v>
      </c>
      <c r="N24" s="35"/>
      <c r="O24" s="35"/>
      <c r="P24" s="35"/>
      <c r="Q24" s="35"/>
      <c r="R24" s="35"/>
      <c r="S24" s="35"/>
      <c r="T24" s="35"/>
      <c r="U24" s="35"/>
      <c r="V24" s="36"/>
      <c r="W24" s="36"/>
      <c r="X24" s="36"/>
      <c r="Y24" s="36"/>
      <c r="Z24" s="36"/>
      <c r="AA24" s="36"/>
      <c r="AB24" s="36"/>
      <c r="AC24" s="36"/>
      <c r="AD24" s="36"/>
      <c r="AE24" s="36"/>
      <c r="AF24" s="36"/>
      <c r="AG24" s="36"/>
      <c r="AH24" s="36"/>
      <c r="AI24" s="36"/>
      <c r="AJ24" s="36"/>
      <c r="AK24" s="36"/>
      <c r="AL24" s="36"/>
      <c r="AM24" s="36"/>
      <c r="AN24" s="37"/>
      <c r="AO24" s="37"/>
      <c r="AP24" s="37"/>
      <c r="AQ24" s="37"/>
      <c r="AR24" s="37"/>
      <c r="AS24" s="29"/>
      <c r="AT24" s="37"/>
      <c r="AU24" s="29"/>
    </row>
    <row r="25" spans="1:47" ht="83.5" customHeight="1" x14ac:dyDescent="0.3">
      <c r="A25" s="79" t="s">
        <v>152</v>
      </c>
      <c r="B25" s="85" t="s">
        <v>176</v>
      </c>
      <c r="C25" s="84">
        <v>6</v>
      </c>
      <c r="D25" s="84" t="s">
        <v>145</v>
      </c>
      <c r="E25" s="73"/>
      <c r="F25" s="74"/>
      <c r="G25" s="73"/>
      <c r="H25" s="74"/>
      <c r="I25" s="80"/>
      <c r="J25" s="66"/>
      <c r="K25" s="33">
        <v>0</v>
      </c>
      <c r="L25" s="197">
        <f>0</f>
        <v>0</v>
      </c>
      <c r="M25" s="34">
        <v>0</v>
      </c>
      <c r="N25" s="35">
        <f t="shared" ref="N25" si="121">IF(M25&gt;0,M25*$N$10,K25)</f>
        <v>0</v>
      </c>
      <c r="O25" s="35">
        <f t="shared" ref="O25:O27" si="122">N25*C25</f>
        <v>0</v>
      </c>
      <c r="P25" s="35">
        <f>IF(M25&gt;0,(N25*($P$10)+((1500*300*0)/COUNTIF($L$11:$L$9768,"&gt;0"))/$C25),0)</f>
        <v>0</v>
      </c>
      <c r="Q25" s="35">
        <f t="shared" ref="Q25:Q27" si="123">P25*C25</f>
        <v>0</v>
      </c>
      <c r="R25" s="35">
        <f t="shared" ref="R25:R27" si="124">N25*($R$10+1%)</f>
        <v>0</v>
      </c>
      <c r="S25" s="35">
        <f t="shared" ref="S25:S27" si="125">R25*C25</f>
        <v>0</v>
      </c>
      <c r="T25" s="35">
        <f t="shared" si="36"/>
        <v>0</v>
      </c>
      <c r="U25" s="35">
        <f t="shared" ref="U25:U27" si="126">T25*C25</f>
        <v>0</v>
      </c>
      <c r="V25" s="36">
        <f t="shared" si="37"/>
        <v>0</v>
      </c>
      <c r="W25" s="36">
        <f t="shared" ref="W25:W27" si="127">V25*C25</f>
        <v>0</v>
      </c>
      <c r="X25" s="36">
        <f t="shared" si="39"/>
        <v>0</v>
      </c>
      <c r="Y25" s="36">
        <f t="shared" ref="Y25:Y27" si="128">X25*C25</f>
        <v>0</v>
      </c>
      <c r="Z25" s="36">
        <f t="shared" ref="Z25:Z27" si="129">IF(AND(ISNUMBER(SEARCH("Installation",B25)),ISNUMBER(SEARCH("Rft",D25))),N25*$Z$10,0)</f>
        <v>0</v>
      </c>
      <c r="AA25" s="36">
        <f t="shared" ref="AA25:AA27" si="130">Z25*C25</f>
        <v>0</v>
      </c>
      <c r="AB25" s="36">
        <f t="shared" ref="AB25:AB27" si="131">IF(OR(AND(ISNUMBER(SEARCH("Installation",B25)),ISNUMBER(SEARCH("Mtr",D25))),AND(ISNUMBER(SEARCH("Installation",B25)),ISNUMBER(SEARCH("Rft",D25)))),N25*$AB$10,0)</f>
        <v>0</v>
      </c>
      <c r="AC25" s="36">
        <f t="shared" ref="AC25:AC27" si="132">AB25*C25</f>
        <v>0</v>
      </c>
      <c r="AD25" s="36">
        <f t="shared" ref="AD25:AD27" si="133">IF(OR(AND(ISNUMBER(SEARCH("Installation",B25)),ISNUMBER(SEARCH("Mtr",D25))),AND(ISNUMBER(SEARCH("Installation",B25)),ISNUMBER(SEARCH("Rft",D25)))),N25*$AD$10,N25*0%)</f>
        <v>0</v>
      </c>
      <c r="AE25" s="36">
        <f t="shared" ref="AE25:AE27" si="134">AD25*C25</f>
        <v>0</v>
      </c>
      <c r="AF25" s="36">
        <f t="shared" si="14"/>
        <v>0</v>
      </c>
      <c r="AG25" s="36">
        <f t="shared" ref="AG25:AG27" si="135">AF25*C25</f>
        <v>0</v>
      </c>
      <c r="AH25" s="36">
        <f t="shared" si="16"/>
        <v>0</v>
      </c>
      <c r="AI25" s="36">
        <f t="shared" ref="AI25:AI27" si="136">AH25*C25</f>
        <v>0</v>
      </c>
      <c r="AJ25" s="36">
        <f t="shared" ref="AJ25:AJ27" si="137">N25+P25+R25+T25+V25+X25+Z25+AB25+AD25+AF25+AH25</f>
        <v>0</v>
      </c>
      <c r="AK25" s="36">
        <f t="shared" ref="AK25:AK27" si="138">AJ25*C25</f>
        <v>0</v>
      </c>
      <c r="AL25" s="36">
        <f t="shared" ref="AL25:AL27" si="139">IF(ISNUMBER(SEARCH("Supply",B25)),(N25+P25+R25+T25)*$AL$10,(N25+P25+R25+T25)*0%)</f>
        <v>0</v>
      </c>
      <c r="AM25" s="36">
        <f t="shared" ref="AM25:AM27" si="140">AL25*C25</f>
        <v>0</v>
      </c>
      <c r="AN25" s="37">
        <f t="shared" ref="AN25:AN27" si="141">IF(OR(ISNUMBER(SEARCH("Installation",B25)), ISNUMBER(SEARCH("Testing",B25)),ISNUMBER(SEARCH("Commissioning",B25)),),(V25+X25+Z25+AB25+AD25+AF25+AH25)*$AN$10, (V25+X25+Z25+AB25+AD25+AF25+AH25)*0%)</f>
        <v>0</v>
      </c>
      <c r="AO25" s="37">
        <f t="shared" ref="AO25:AO27" si="142">AN25*C25</f>
        <v>0</v>
      </c>
      <c r="AP25" s="37">
        <f t="shared" ref="AP25:AP27" si="143">AJ25+AL25+AN25</f>
        <v>0</v>
      </c>
      <c r="AQ25" s="37">
        <f t="shared" ref="AQ25:AQ27" si="144">AP25*C25</f>
        <v>0</v>
      </c>
      <c r="AR25" s="37">
        <f t="shared" ref="AR25:AR27" si="145">AP25/(100%-$AR$10)</f>
        <v>0</v>
      </c>
      <c r="AS25" s="29">
        <f t="shared" ref="AS25:AS27" si="146">AR25*C25</f>
        <v>0</v>
      </c>
      <c r="AT25" s="37">
        <f t="shared" ref="AT25:AT27" si="147">AR25/(100%-$AT$10)</f>
        <v>0</v>
      </c>
      <c r="AU25" s="29">
        <f t="shared" ref="AU25:AU27" si="148">AT25*C25</f>
        <v>0</v>
      </c>
    </row>
    <row r="26" spans="1:47" ht="90" customHeight="1" x14ac:dyDescent="0.3">
      <c r="A26" s="79" t="s">
        <v>153</v>
      </c>
      <c r="B26" s="85" t="s">
        <v>185</v>
      </c>
      <c r="C26" s="192" t="s">
        <v>186</v>
      </c>
      <c r="D26" s="193"/>
      <c r="E26" s="73"/>
      <c r="F26" s="74"/>
      <c r="G26" s="73"/>
      <c r="H26" s="74"/>
      <c r="I26" s="80"/>
      <c r="J26" s="66" t="s">
        <v>144</v>
      </c>
      <c r="K26" s="33">
        <v>0</v>
      </c>
      <c r="L26" s="196"/>
      <c r="M26" s="34">
        <f t="shared" ref="M26" si="149">L26*$M$10</f>
        <v>0</v>
      </c>
      <c r="N26" s="35">
        <f t="shared" ref="N26" si="150">IF(M26&gt;0,M26*$N$10,K26)</f>
        <v>0</v>
      </c>
      <c r="O26" s="35" t="e">
        <f t="shared" ref="O26" si="151">N26*C26</f>
        <v>#VALUE!</v>
      </c>
      <c r="P26" s="35">
        <f>IF(M26&gt;0,(N26*($P$10)+((1500*300*0)/COUNTIF($L$11:$L$9768,"&gt;0"))/$C26),0)</f>
        <v>0</v>
      </c>
      <c r="Q26" s="35" t="e">
        <f t="shared" ref="Q26" si="152">P26*C26</f>
        <v>#VALUE!</v>
      </c>
      <c r="R26" s="35">
        <f t="shared" ref="R26" si="153">N26*($R$10+1%)</f>
        <v>0</v>
      </c>
      <c r="S26" s="35" t="e">
        <f t="shared" ref="S26" si="154">R26*C26</f>
        <v>#VALUE!</v>
      </c>
      <c r="T26" s="35">
        <f t="shared" ref="T26" si="155">IF(M26&gt;0,N26*$T$10,N26*20%)</f>
        <v>0</v>
      </c>
      <c r="U26" s="35" t="e">
        <f t="shared" ref="U26" si="156">T26*C26</f>
        <v>#VALUE!</v>
      </c>
      <c r="V26" s="36">
        <f t="shared" ref="V26" si="157">IF(OR(AND(ISNUMBER(SEARCH("Installation",B26)),ISNUMBER(SEARCH("Mtr",D26))),AND(ISNUMBER(SEARCH("Installation",B26)),ISNUMBER(SEARCH("Rft",D26)))),N26*$V$10,IF(ISNUMBER(SEARCH("Installation",B26)),N26*5%,N26*0%))</f>
        <v>0</v>
      </c>
      <c r="W26" s="36" t="e">
        <f t="shared" ref="W26" si="158">V26*C26</f>
        <v>#VALUE!</v>
      </c>
      <c r="X26" s="36">
        <f t="shared" ref="X26" si="159">IF(OR(AND(ISNUMBER(SEARCH("Installation",B26)),ISNUMBER(SEARCH("Mtr",D26))),AND(ISNUMBER(SEARCH("Installation",B26)),ISNUMBER(SEARCH("Rft",D26)))),N26*$X$10,IF(ISNUMBER(SEARCH("Installation",B26)),N26*5%,N26*0%))</f>
        <v>0</v>
      </c>
      <c r="Y26" s="36" t="e">
        <f t="shared" ref="Y26" si="160">X26*C26</f>
        <v>#VALUE!</v>
      </c>
      <c r="Z26" s="36">
        <f t="shared" ref="Z26" si="161">IF(AND(ISNUMBER(SEARCH("Installation",B26)),ISNUMBER(SEARCH("Rft",D26))),N26*$Z$10,0)</f>
        <v>0</v>
      </c>
      <c r="AA26" s="36" t="e">
        <f t="shared" ref="AA26" si="162">Z26*C26</f>
        <v>#VALUE!</v>
      </c>
      <c r="AB26" s="36">
        <f t="shared" ref="AB26" si="163">IF(OR(AND(ISNUMBER(SEARCH("Installation",B26)),ISNUMBER(SEARCH("Mtr",D26))),AND(ISNUMBER(SEARCH("Installation",B26)),ISNUMBER(SEARCH("Rft",D26)))),N26*$AB$10,0)</f>
        <v>0</v>
      </c>
      <c r="AC26" s="36" t="e">
        <f t="shared" ref="AC26" si="164">AB26*C26</f>
        <v>#VALUE!</v>
      </c>
      <c r="AD26" s="36">
        <f t="shared" ref="AD26" si="165">IF(OR(AND(ISNUMBER(SEARCH("Installation",B26)),ISNUMBER(SEARCH("Mtr",D26))),AND(ISNUMBER(SEARCH("Installation",B26)),ISNUMBER(SEARCH("Rft",D26)))),N26*$AD$10,N26*0%)</f>
        <v>0</v>
      </c>
      <c r="AE26" s="36" t="e">
        <f t="shared" ref="AE26" si="166">AD26*C26</f>
        <v>#VALUE!</v>
      </c>
      <c r="AF26" s="36">
        <f t="shared" ref="AF26" si="167">IF(ISNUMBER(SEARCH("Testing",B26)),N26*$AF$10,N26*0%)</f>
        <v>0</v>
      </c>
      <c r="AG26" s="36" t="e">
        <f t="shared" ref="AG26" si="168">AF26*C26</f>
        <v>#VALUE!</v>
      </c>
      <c r="AH26" s="36">
        <f t="shared" ref="AH26" si="169">IF(ISNUMBER(SEARCH("Commissioning",B26)),N26*$AH$10,N26*0%)</f>
        <v>0</v>
      </c>
      <c r="AI26" s="36" t="e">
        <f t="shared" ref="AI26" si="170">AH26*C26</f>
        <v>#VALUE!</v>
      </c>
      <c r="AJ26" s="36">
        <f t="shared" ref="AJ26" si="171">N26+P26+R26+T26+V26+X26+Z26+AB26+AD26+AF26+AH26</f>
        <v>0</v>
      </c>
      <c r="AK26" s="36" t="e">
        <f t="shared" ref="AK26" si="172">AJ26*C26</f>
        <v>#VALUE!</v>
      </c>
      <c r="AL26" s="36">
        <f t="shared" ref="AL26" si="173">IF(ISNUMBER(SEARCH("Supply",B26)),(N26+P26+R26+T26)*$AL$10,(N26+P26+R26+T26)*0%)</f>
        <v>0</v>
      </c>
      <c r="AM26" s="36" t="e">
        <f t="shared" ref="AM26" si="174">AL26*C26</f>
        <v>#VALUE!</v>
      </c>
      <c r="AN26" s="37">
        <f t="shared" ref="AN26" si="175">IF(OR(ISNUMBER(SEARCH("Installation",B26)), ISNUMBER(SEARCH("Testing",B26)),ISNUMBER(SEARCH("Commissioning",B26)),),(V26+X26+Z26+AB26+AD26+AF26+AH26)*$AN$10, (V26+X26+Z26+AB26+AD26+AF26+AH26)*0%)</f>
        <v>0</v>
      </c>
      <c r="AO26" s="37" t="e">
        <f t="shared" ref="AO26" si="176">AN26*C26</f>
        <v>#VALUE!</v>
      </c>
      <c r="AP26" s="37">
        <f t="shared" ref="AP26" si="177">AJ26+AL26+AN26</f>
        <v>0</v>
      </c>
      <c r="AQ26" s="37" t="e">
        <f t="shared" ref="AQ26" si="178">AP26*C26</f>
        <v>#VALUE!</v>
      </c>
      <c r="AR26" s="37">
        <f t="shared" ref="AR26" si="179">AP26/(100%-$AR$10)</f>
        <v>0</v>
      </c>
      <c r="AS26" s="29" t="e">
        <f t="shared" ref="AS26" si="180">AR26*C26</f>
        <v>#VALUE!</v>
      </c>
      <c r="AT26" s="37">
        <f t="shared" ref="AT26" si="181">AR26/(100%-$AT$10)</f>
        <v>0</v>
      </c>
      <c r="AU26" s="29" t="e">
        <f t="shared" ref="AU26" si="182">AT26*C26</f>
        <v>#VALUE!</v>
      </c>
    </row>
    <row r="27" spans="1:47" ht="88" customHeight="1" x14ac:dyDescent="0.3">
      <c r="A27" s="79" t="s">
        <v>154</v>
      </c>
      <c r="B27" s="85" t="s">
        <v>183</v>
      </c>
      <c r="C27" s="84">
        <v>1</v>
      </c>
      <c r="D27" s="84" t="s">
        <v>184</v>
      </c>
      <c r="E27" s="73"/>
      <c r="F27" s="74"/>
      <c r="G27" s="73"/>
      <c r="H27" s="74"/>
      <c r="I27" s="80"/>
      <c r="J27" s="66"/>
      <c r="K27" s="33">
        <v>0</v>
      </c>
      <c r="L27" s="197">
        <f>0</f>
        <v>0</v>
      </c>
      <c r="M27" s="34">
        <f t="shared" ref="M25:M27" si="183">L27*$M$10</f>
        <v>0</v>
      </c>
      <c r="N27" s="35">
        <f>IF(M27&gt;0,M27*$N$10,K27)</f>
        <v>0</v>
      </c>
      <c r="O27" s="35">
        <f t="shared" si="122"/>
        <v>0</v>
      </c>
      <c r="P27" s="35">
        <f>IF(M27&gt;0,(N27*($P$10)+((1500*300*0)/COUNTIF($L$11:$L$9768,"&gt;0"))/$C27),0)</f>
        <v>0</v>
      </c>
      <c r="Q27" s="35">
        <f t="shared" si="123"/>
        <v>0</v>
      </c>
      <c r="R27" s="35">
        <f t="shared" si="124"/>
        <v>0</v>
      </c>
      <c r="S27" s="35">
        <f t="shared" si="125"/>
        <v>0</v>
      </c>
      <c r="T27" s="35">
        <f t="shared" si="36"/>
        <v>0</v>
      </c>
      <c r="U27" s="35">
        <f t="shared" si="126"/>
        <v>0</v>
      </c>
      <c r="V27" s="36">
        <f t="shared" si="37"/>
        <v>0</v>
      </c>
      <c r="W27" s="36">
        <f t="shared" si="127"/>
        <v>0</v>
      </c>
      <c r="X27" s="36">
        <f t="shared" si="39"/>
        <v>0</v>
      </c>
      <c r="Y27" s="36">
        <f t="shared" si="128"/>
        <v>0</v>
      </c>
      <c r="Z27" s="36">
        <f t="shared" si="129"/>
        <v>0</v>
      </c>
      <c r="AA27" s="36">
        <f t="shared" si="130"/>
        <v>0</v>
      </c>
      <c r="AB27" s="36">
        <f t="shared" si="131"/>
        <v>0</v>
      </c>
      <c r="AC27" s="36">
        <f t="shared" si="132"/>
        <v>0</v>
      </c>
      <c r="AD27" s="36">
        <f t="shared" si="133"/>
        <v>0</v>
      </c>
      <c r="AE27" s="36">
        <f t="shared" si="134"/>
        <v>0</v>
      </c>
      <c r="AF27" s="36">
        <f t="shared" si="14"/>
        <v>0</v>
      </c>
      <c r="AG27" s="36">
        <f t="shared" si="135"/>
        <v>0</v>
      </c>
      <c r="AH27" s="36">
        <f t="shared" si="16"/>
        <v>0</v>
      </c>
      <c r="AI27" s="36">
        <f t="shared" si="136"/>
        <v>0</v>
      </c>
      <c r="AJ27" s="36">
        <f t="shared" si="137"/>
        <v>0</v>
      </c>
      <c r="AK27" s="36">
        <f t="shared" si="138"/>
        <v>0</v>
      </c>
      <c r="AL27" s="36">
        <f t="shared" si="139"/>
        <v>0</v>
      </c>
      <c r="AM27" s="36">
        <f t="shared" si="140"/>
        <v>0</v>
      </c>
      <c r="AN27" s="37">
        <f t="shared" si="141"/>
        <v>0</v>
      </c>
      <c r="AO27" s="37">
        <f t="shared" si="142"/>
        <v>0</v>
      </c>
      <c r="AP27" s="37">
        <f t="shared" si="143"/>
        <v>0</v>
      </c>
      <c r="AQ27" s="37">
        <f t="shared" si="144"/>
        <v>0</v>
      </c>
      <c r="AR27" s="37">
        <f t="shared" si="145"/>
        <v>0</v>
      </c>
      <c r="AS27" s="29">
        <f t="shared" si="146"/>
        <v>0</v>
      </c>
      <c r="AT27" s="37">
        <f t="shared" si="147"/>
        <v>0</v>
      </c>
      <c r="AU27" s="29">
        <f t="shared" si="148"/>
        <v>0</v>
      </c>
    </row>
    <row r="28" spans="1:47" ht="34.5" customHeight="1" x14ac:dyDescent="0.3">
      <c r="A28" s="79" t="s">
        <v>155</v>
      </c>
      <c r="B28" s="85" t="s">
        <v>180</v>
      </c>
      <c r="C28" s="192" t="s">
        <v>181</v>
      </c>
      <c r="D28" s="193"/>
      <c r="E28" s="73"/>
      <c r="F28" s="74"/>
      <c r="G28" s="73"/>
      <c r="H28" s="74"/>
      <c r="I28" s="80"/>
      <c r="J28" s="66" t="s">
        <v>144</v>
      </c>
      <c r="K28" s="33">
        <v>0</v>
      </c>
      <c r="L28" s="197"/>
      <c r="M28" s="34">
        <f t="shared" ref="M28" si="184">L28*$M$10</f>
        <v>0</v>
      </c>
      <c r="N28" s="35">
        <f>IF(M28&gt;0,M28*$N$10,K28)</f>
        <v>0</v>
      </c>
      <c r="O28" s="35" t="e">
        <f t="shared" ref="O28" si="185">N28*C28</f>
        <v>#VALUE!</v>
      </c>
      <c r="P28" s="35">
        <f>IF(M28&gt;0,(N28*($P$10)+((1500*300*0)/COUNTIF($L$11:$L$9768,"&gt;0"))/$C28),0)</f>
        <v>0</v>
      </c>
      <c r="Q28" s="35" t="e">
        <f t="shared" ref="Q28" si="186">P28*C28</f>
        <v>#VALUE!</v>
      </c>
      <c r="R28" s="35">
        <f t="shared" ref="R28" si="187">N28*($R$10+1%)</f>
        <v>0</v>
      </c>
      <c r="S28" s="35" t="e">
        <f t="shared" ref="S28" si="188">R28*C28</f>
        <v>#VALUE!</v>
      </c>
      <c r="T28" s="35">
        <f t="shared" ref="T28" si="189">IF(M28&gt;0,N28*$T$10,N28*20%)</f>
        <v>0</v>
      </c>
      <c r="U28" s="35" t="e">
        <f t="shared" ref="U28" si="190">T28*C28</f>
        <v>#VALUE!</v>
      </c>
      <c r="V28" s="36">
        <f t="shared" ref="V28" si="191">IF(OR(AND(ISNUMBER(SEARCH("Installation",B28)),ISNUMBER(SEARCH("Mtr",D28))),AND(ISNUMBER(SEARCH("Installation",B28)),ISNUMBER(SEARCH("Rft",D28)))),N28*$V$10,IF(ISNUMBER(SEARCH("Installation",B28)),N28*5%,N28*0%))</f>
        <v>0</v>
      </c>
      <c r="W28" s="36" t="e">
        <f t="shared" ref="W28" si="192">V28*C28</f>
        <v>#VALUE!</v>
      </c>
      <c r="X28" s="36">
        <f t="shared" ref="X28" si="193">IF(OR(AND(ISNUMBER(SEARCH("Installation",B28)),ISNUMBER(SEARCH("Mtr",D28))),AND(ISNUMBER(SEARCH("Installation",B28)),ISNUMBER(SEARCH("Rft",D28)))),N28*$X$10,IF(ISNUMBER(SEARCH("Installation",B28)),N28*5%,N28*0%))</f>
        <v>0</v>
      </c>
      <c r="Y28" s="36" t="e">
        <f t="shared" ref="Y28" si="194">X28*C28</f>
        <v>#VALUE!</v>
      </c>
      <c r="Z28" s="36">
        <f t="shared" ref="Z28" si="195">IF(AND(ISNUMBER(SEARCH("Installation",B28)),ISNUMBER(SEARCH("Rft",D28))),N28*$Z$10,0)</f>
        <v>0</v>
      </c>
      <c r="AA28" s="36" t="e">
        <f t="shared" ref="AA28" si="196">Z28*C28</f>
        <v>#VALUE!</v>
      </c>
      <c r="AB28" s="36">
        <f t="shared" ref="AB28" si="197">IF(OR(AND(ISNUMBER(SEARCH("Installation",B28)),ISNUMBER(SEARCH("Mtr",D28))),AND(ISNUMBER(SEARCH("Installation",B28)),ISNUMBER(SEARCH("Rft",D28)))),N28*$AB$10,0)</f>
        <v>0</v>
      </c>
      <c r="AC28" s="36" t="e">
        <f t="shared" ref="AC28" si="198">AB28*C28</f>
        <v>#VALUE!</v>
      </c>
      <c r="AD28" s="36">
        <f t="shared" ref="AD28" si="199">IF(OR(AND(ISNUMBER(SEARCH("Installation",B28)),ISNUMBER(SEARCH("Mtr",D28))),AND(ISNUMBER(SEARCH("Installation",B28)),ISNUMBER(SEARCH("Rft",D28)))),N28*$AD$10,N28*0%)</f>
        <v>0</v>
      </c>
      <c r="AE28" s="36" t="e">
        <f t="shared" ref="AE28" si="200">AD28*C28</f>
        <v>#VALUE!</v>
      </c>
      <c r="AF28" s="36">
        <f t="shared" ref="AF28" si="201">IF(ISNUMBER(SEARCH("Testing",B28)),N28*$AF$10,N28*0%)</f>
        <v>0</v>
      </c>
      <c r="AG28" s="36" t="e">
        <f t="shared" ref="AG28" si="202">AF28*C28</f>
        <v>#VALUE!</v>
      </c>
      <c r="AH28" s="36">
        <f t="shared" ref="AH28" si="203">IF(ISNUMBER(SEARCH("Commissioning",B28)),N28*$AH$10,N28*0%)</f>
        <v>0</v>
      </c>
      <c r="AI28" s="36" t="e">
        <f t="shared" ref="AI28" si="204">AH28*C28</f>
        <v>#VALUE!</v>
      </c>
      <c r="AJ28" s="36">
        <f t="shared" ref="AJ28" si="205">N28+P28+R28+T28+V28+X28+Z28+AB28+AD28+AF28+AH28</f>
        <v>0</v>
      </c>
      <c r="AK28" s="36" t="e">
        <f t="shared" ref="AK28" si="206">AJ28*C28</f>
        <v>#VALUE!</v>
      </c>
      <c r="AL28" s="36">
        <f t="shared" ref="AL28" si="207">IF(ISNUMBER(SEARCH("Supply",B28)),(N28+P28+R28+T28)*$AL$10,(N28+P28+R28+T28)*0%)</f>
        <v>0</v>
      </c>
      <c r="AM28" s="36" t="e">
        <f t="shared" ref="AM28" si="208">AL28*C28</f>
        <v>#VALUE!</v>
      </c>
      <c r="AN28" s="37">
        <f t="shared" ref="AN28" si="209">IF(OR(ISNUMBER(SEARCH("Installation",B28)), ISNUMBER(SEARCH("Testing",B28)),ISNUMBER(SEARCH("Commissioning",B28)),),(V28+X28+Z28+AB28+AD28+AF28+AH28)*$AN$10, (V28+X28+Z28+AB28+AD28+AF28+AH28)*0%)</f>
        <v>0</v>
      </c>
      <c r="AO28" s="37" t="e">
        <f t="shared" ref="AO28" si="210">AN28*C28</f>
        <v>#VALUE!</v>
      </c>
      <c r="AP28" s="37">
        <f t="shared" ref="AP28" si="211">AJ28+AL28+AN28</f>
        <v>0</v>
      </c>
      <c r="AQ28" s="37" t="e">
        <f t="shared" ref="AQ28" si="212">AP28*C28</f>
        <v>#VALUE!</v>
      </c>
      <c r="AR28" s="37">
        <f t="shared" ref="AR28" si="213">AP28/(100%-$AR$10)</f>
        <v>0</v>
      </c>
      <c r="AS28" s="29" t="e">
        <f t="shared" ref="AS28" si="214">AR28*C28</f>
        <v>#VALUE!</v>
      </c>
      <c r="AT28" s="37">
        <f t="shared" ref="AT28" si="215">AR28/(100%-$AT$10)</f>
        <v>0</v>
      </c>
      <c r="AU28" s="29" t="e">
        <f t="shared" ref="AU28" si="216">AT28*C28</f>
        <v>#VALUE!</v>
      </c>
    </row>
    <row r="29" spans="1:47" ht="45.5" customHeight="1" x14ac:dyDescent="0.3">
      <c r="A29" s="79" t="s">
        <v>156</v>
      </c>
      <c r="B29" s="85" t="s">
        <v>179</v>
      </c>
      <c r="C29" s="192" t="s">
        <v>182</v>
      </c>
      <c r="D29" s="193"/>
      <c r="E29" s="73"/>
      <c r="F29" s="74"/>
      <c r="G29" s="73"/>
      <c r="H29" s="74"/>
      <c r="I29" s="80"/>
      <c r="J29" s="66"/>
      <c r="K29" s="33">
        <v>0</v>
      </c>
      <c r="L29" s="197">
        <f>0</f>
        <v>0</v>
      </c>
      <c r="M29" s="34">
        <f t="shared" ref="M29:M30" si="217">L29*$M$10</f>
        <v>0</v>
      </c>
      <c r="N29" s="35">
        <f t="shared" ref="N29:N30" si="218">IF(M29&gt;0,M29*$N$10,K29)</f>
        <v>0</v>
      </c>
      <c r="O29" s="35" t="e">
        <f t="shared" ref="O29:O30" si="219">N29*C29</f>
        <v>#VALUE!</v>
      </c>
      <c r="P29" s="35">
        <f>IF(M29&gt;0,(N29*($P$10)+((1500*300*0)/COUNTIF($L$11:$L$9768,"&gt;0"))/$C29),0)</f>
        <v>0</v>
      </c>
      <c r="Q29" s="35" t="e">
        <f t="shared" ref="Q29:Q30" si="220">P29*C29</f>
        <v>#VALUE!</v>
      </c>
      <c r="R29" s="35">
        <f t="shared" ref="R29:R30" si="221">N29*($R$10+1%)</f>
        <v>0</v>
      </c>
      <c r="S29" s="35" t="e">
        <f t="shared" ref="S29:S30" si="222">R29*C29</f>
        <v>#VALUE!</v>
      </c>
      <c r="T29" s="35">
        <f t="shared" si="36"/>
        <v>0</v>
      </c>
      <c r="U29" s="35" t="e">
        <f t="shared" ref="U29:U30" si="223">T29*C29</f>
        <v>#VALUE!</v>
      </c>
      <c r="V29" s="36">
        <f t="shared" ref="V29:V30" si="224">IF(OR(AND(ISNUMBER(SEARCH("Installation",B29)),ISNUMBER(SEARCH("Mtr",D29))),AND(ISNUMBER(SEARCH("Installation",B29)),ISNUMBER(SEARCH("Rft",D29)))),N29*$V$10,IF(ISNUMBER(SEARCH("Installation",B29)),N29*5%,N29*0%))</f>
        <v>0</v>
      </c>
      <c r="W29" s="36" t="e">
        <f t="shared" ref="W29:W30" si="225">V29*C29</f>
        <v>#VALUE!</v>
      </c>
      <c r="X29" s="36">
        <f t="shared" ref="X29:X30" si="226">IF(OR(AND(ISNUMBER(SEARCH("Installation",B29)),ISNUMBER(SEARCH("Mtr",D29))),AND(ISNUMBER(SEARCH("Installation",B29)),ISNUMBER(SEARCH("Rft",D29)))),N29*$X$10,IF(ISNUMBER(SEARCH("Installation",B29)),N29*5%,N29*0%))</f>
        <v>0</v>
      </c>
      <c r="Y29" s="36" t="e">
        <f t="shared" ref="Y29:Y30" si="227">X29*C29</f>
        <v>#VALUE!</v>
      </c>
      <c r="Z29" s="36">
        <f t="shared" ref="Z29:Z30" si="228">IF(AND(ISNUMBER(SEARCH("Installation",B29)),ISNUMBER(SEARCH("Rft",D29))),N29*$Z$10,0)</f>
        <v>0</v>
      </c>
      <c r="AA29" s="36" t="e">
        <f t="shared" ref="AA29:AA30" si="229">Z29*C29</f>
        <v>#VALUE!</v>
      </c>
      <c r="AB29" s="36">
        <f t="shared" ref="AB29:AB30" si="230">IF(OR(AND(ISNUMBER(SEARCH("Installation",B29)),ISNUMBER(SEARCH("Mtr",D29))),AND(ISNUMBER(SEARCH("Installation",B29)),ISNUMBER(SEARCH("Rft",D29)))),N29*$AB$10,0)</f>
        <v>0</v>
      </c>
      <c r="AC29" s="36" t="e">
        <f t="shared" ref="AC29:AC30" si="231">AB29*C29</f>
        <v>#VALUE!</v>
      </c>
      <c r="AD29" s="36">
        <f t="shared" ref="AD29:AD30" si="232">IF(OR(AND(ISNUMBER(SEARCH("Installation",B29)),ISNUMBER(SEARCH("Mtr",D29))),AND(ISNUMBER(SEARCH("Installation",B29)),ISNUMBER(SEARCH("Rft",D29)))),N29*$AD$10,N29*0%)</f>
        <v>0</v>
      </c>
      <c r="AE29" s="36" t="e">
        <f t="shared" ref="AE29:AE30" si="233">AD29*C29</f>
        <v>#VALUE!</v>
      </c>
      <c r="AF29" s="36">
        <f t="shared" ref="AF29:AF30" si="234">IF(ISNUMBER(SEARCH("Testing",B29)),N29*$AF$10,N29*0%)</f>
        <v>0</v>
      </c>
      <c r="AG29" s="36" t="e">
        <f t="shared" ref="AG29:AG30" si="235">AF29*C29</f>
        <v>#VALUE!</v>
      </c>
      <c r="AH29" s="36">
        <f t="shared" ref="AH29:AH30" si="236">IF(ISNUMBER(SEARCH("Commissioning",B29)),N29*$AH$10,N29*0%)</f>
        <v>0</v>
      </c>
      <c r="AI29" s="36" t="e">
        <f t="shared" ref="AI29:AI30" si="237">AH29*C29</f>
        <v>#VALUE!</v>
      </c>
      <c r="AJ29" s="36">
        <f t="shared" ref="AJ29:AJ30" si="238">N29+P29+R29+T29+V29+X29+Z29+AB29+AD29+AF29+AH29</f>
        <v>0</v>
      </c>
      <c r="AK29" s="36" t="e">
        <f t="shared" ref="AK29:AK30" si="239">AJ29*C29</f>
        <v>#VALUE!</v>
      </c>
      <c r="AL29" s="36">
        <f t="shared" ref="AL29:AL30" si="240">IF(ISNUMBER(SEARCH("Supply",B29)),(N29+P29+R29+T29)*$AL$10,(N29+P29+R29+T29)*0%)</f>
        <v>0</v>
      </c>
      <c r="AM29" s="36" t="e">
        <f t="shared" ref="AM29:AM30" si="241">AL29*C29</f>
        <v>#VALUE!</v>
      </c>
      <c r="AN29" s="37">
        <f t="shared" ref="AN29:AN30" si="242">IF(OR(ISNUMBER(SEARCH("Installation",B29)), ISNUMBER(SEARCH("Testing",B29)),ISNUMBER(SEARCH("Commissioning",B29)),),(V29+X29+Z29+AB29+AD29+AF29+AH29)*$AN$10, (V29+X29+Z29+AB29+AD29+AF29+AH29)*0%)</f>
        <v>0</v>
      </c>
      <c r="AO29" s="37" t="e">
        <f t="shared" ref="AO29:AO30" si="243">AN29*C29</f>
        <v>#VALUE!</v>
      </c>
      <c r="AP29" s="37">
        <f t="shared" ref="AP29:AP30" si="244">AJ29+AL29+AN29</f>
        <v>0</v>
      </c>
      <c r="AQ29" s="37" t="e">
        <f t="shared" ref="AQ29:AQ30" si="245">AP29*C29</f>
        <v>#VALUE!</v>
      </c>
      <c r="AR29" s="37">
        <f t="shared" ref="AR29:AR30" si="246">AP29/(100%-$AR$10)</f>
        <v>0</v>
      </c>
      <c r="AS29" s="29" t="e">
        <f t="shared" ref="AS29:AS30" si="247">AR29*C29</f>
        <v>#VALUE!</v>
      </c>
      <c r="AT29" s="37">
        <f t="shared" ref="AT29:AT30" si="248">AR29/(100%-$AT$10)</f>
        <v>0</v>
      </c>
      <c r="AU29" s="29" t="e">
        <f t="shared" ref="AU29:AU30" si="249">AT29*C29</f>
        <v>#VALUE!</v>
      </c>
    </row>
    <row r="30" spans="1:47" ht="75" customHeight="1" x14ac:dyDescent="0.3">
      <c r="A30" s="79" t="s">
        <v>157</v>
      </c>
      <c r="B30" s="85" t="s">
        <v>177</v>
      </c>
      <c r="C30" s="84">
        <v>1</v>
      </c>
      <c r="D30" s="84" t="s">
        <v>178</v>
      </c>
      <c r="E30" s="73"/>
      <c r="F30" s="74"/>
      <c r="G30" s="73"/>
      <c r="H30" s="74"/>
      <c r="I30" s="80"/>
      <c r="J30" s="66" t="s">
        <v>144</v>
      </c>
      <c r="K30" s="33">
        <v>0</v>
      </c>
      <c r="L30" s="197"/>
      <c r="M30" s="34">
        <f t="shared" si="217"/>
        <v>0</v>
      </c>
      <c r="N30" s="35">
        <f t="shared" si="218"/>
        <v>0</v>
      </c>
      <c r="O30" s="35">
        <f t="shared" si="219"/>
        <v>0</v>
      </c>
      <c r="P30" s="35">
        <f>IF(M30&gt;0,(N30*($P$10)+((1500*300*0)/COUNTIF($L$11:$L$9768,"&gt;0"))/$C30),0)</f>
        <v>0</v>
      </c>
      <c r="Q30" s="35">
        <f t="shared" si="220"/>
        <v>0</v>
      </c>
      <c r="R30" s="35">
        <f t="shared" si="221"/>
        <v>0</v>
      </c>
      <c r="S30" s="35">
        <f t="shared" si="222"/>
        <v>0</v>
      </c>
      <c r="T30" s="35">
        <f t="shared" si="36"/>
        <v>0</v>
      </c>
      <c r="U30" s="35">
        <f t="shared" si="223"/>
        <v>0</v>
      </c>
      <c r="V30" s="36">
        <f t="shared" si="224"/>
        <v>0</v>
      </c>
      <c r="W30" s="36">
        <f t="shared" si="225"/>
        <v>0</v>
      </c>
      <c r="X30" s="36">
        <f t="shared" si="226"/>
        <v>0</v>
      </c>
      <c r="Y30" s="36">
        <f t="shared" si="227"/>
        <v>0</v>
      </c>
      <c r="Z30" s="36">
        <f t="shared" si="228"/>
        <v>0</v>
      </c>
      <c r="AA30" s="36">
        <f t="shared" si="229"/>
        <v>0</v>
      </c>
      <c r="AB30" s="36">
        <f t="shared" si="230"/>
        <v>0</v>
      </c>
      <c r="AC30" s="36">
        <f t="shared" si="231"/>
        <v>0</v>
      </c>
      <c r="AD30" s="36">
        <f t="shared" si="232"/>
        <v>0</v>
      </c>
      <c r="AE30" s="36">
        <f t="shared" si="233"/>
        <v>0</v>
      </c>
      <c r="AF30" s="36">
        <f t="shared" si="234"/>
        <v>0</v>
      </c>
      <c r="AG30" s="36">
        <f t="shared" si="235"/>
        <v>0</v>
      </c>
      <c r="AH30" s="36">
        <f t="shared" si="236"/>
        <v>0</v>
      </c>
      <c r="AI30" s="36">
        <f t="shared" si="237"/>
        <v>0</v>
      </c>
      <c r="AJ30" s="36">
        <f t="shared" si="238"/>
        <v>0</v>
      </c>
      <c r="AK30" s="36">
        <f t="shared" si="239"/>
        <v>0</v>
      </c>
      <c r="AL30" s="36">
        <f t="shared" si="240"/>
        <v>0</v>
      </c>
      <c r="AM30" s="36">
        <f t="shared" si="241"/>
        <v>0</v>
      </c>
      <c r="AN30" s="37">
        <f t="shared" si="242"/>
        <v>0</v>
      </c>
      <c r="AO30" s="37">
        <f t="shared" si="243"/>
        <v>0</v>
      </c>
      <c r="AP30" s="37">
        <f t="shared" si="244"/>
        <v>0</v>
      </c>
      <c r="AQ30" s="37">
        <f t="shared" si="245"/>
        <v>0</v>
      </c>
      <c r="AR30" s="37">
        <f t="shared" si="246"/>
        <v>0</v>
      </c>
      <c r="AS30" s="29">
        <f t="shared" si="247"/>
        <v>0</v>
      </c>
      <c r="AT30" s="37">
        <f t="shared" si="248"/>
        <v>0</v>
      </c>
      <c r="AU30" s="29">
        <f t="shared" si="249"/>
        <v>0</v>
      </c>
    </row>
    <row r="31" spans="1:47" ht="17.5" x14ac:dyDescent="0.3">
      <c r="A31" s="98"/>
      <c r="B31" s="86"/>
      <c r="C31" s="87"/>
      <c r="D31" s="135" t="s">
        <v>140</v>
      </c>
      <c r="E31" s="135"/>
      <c r="F31" s="88">
        <f>SUM(F12:F30)</f>
        <v>0</v>
      </c>
      <c r="G31" s="89"/>
      <c r="H31" s="88">
        <f>SUM(H12:H30)</f>
        <v>0</v>
      </c>
      <c r="I31" s="99">
        <f>H31+F31</f>
        <v>0</v>
      </c>
      <c r="J31" s="51"/>
      <c r="K31" s="33">
        <v>0</v>
      </c>
      <c r="L31" s="197">
        <v>0</v>
      </c>
      <c r="M31" s="34">
        <f t="shared" si="33"/>
        <v>0</v>
      </c>
      <c r="N31" s="35">
        <f t="shared" si="34"/>
        <v>0</v>
      </c>
      <c r="O31" s="35">
        <f t="shared" si="35"/>
        <v>0</v>
      </c>
      <c r="P31" s="35">
        <f>IF(M31&gt;0,(N31*($P$10)+((1500*300*0)/COUNTIF($L$11:$L$9768,"&gt;0"))/$C31),0)</f>
        <v>0</v>
      </c>
      <c r="Q31" s="35">
        <f t="shared" ref="Q31" si="250">P31*C31</f>
        <v>0</v>
      </c>
      <c r="R31" s="35">
        <f>N31*($R$10+1%)</f>
        <v>0</v>
      </c>
      <c r="S31" s="35">
        <f t="shared" ref="S31" si="251">R31*C31</f>
        <v>0</v>
      </c>
      <c r="T31" s="35">
        <f t="shared" ref="T31" si="252">IF(M31&gt;0,N31*$T$10,N31*20%)</f>
        <v>0</v>
      </c>
      <c r="U31" s="35">
        <f t="shared" ref="U31" si="253">T31*C31</f>
        <v>0</v>
      </c>
      <c r="V31" s="36">
        <f t="shared" si="37"/>
        <v>0</v>
      </c>
      <c r="W31" s="36">
        <f t="shared" si="38"/>
        <v>0</v>
      </c>
      <c r="X31" s="36">
        <f t="shared" si="39"/>
        <v>0</v>
      </c>
      <c r="Y31" s="36">
        <f t="shared" ref="Y31" si="254">X31*C31</f>
        <v>0</v>
      </c>
      <c r="Z31" s="36">
        <f t="shared" ref="Z31" si="255">IF(AND(ISNUMBER(SEARCH("Installation",B31)),ISNUMBER(SEARCH("Rft",D31))),N31*$Z$10,0)</f>
        <v>0</v>
      </c>
      <c r="AA31" s="36">
        <f t="shared" si="40"/>
        <v>0</v>
      </c>
      <c r="AB31" s="36">
        <f t="shared" si="41"/>
        <v>0</v>
      </c>
      <c r="AC31" s="36">
        <f t="shared" si="42"/>
        <v>0</v>
      </c>
      <c r="AD31" s="36">
        <f t="shared" si="43"/>
        <v>0</v>
      </c>
      <c r="AE31" s="36">
        <f t="shared" si="44"/>
        <v>0</v>
      </c>
      <c r="AF31" s="36">
        <f t="shared" si="14"/>
        <v>0</v>
      </c>
      <c r="AG31" s="36">
        <f t="shared" si="45"/>
        <v>0</v>
      </c>
      <c r="AH31" s="36">
        <f t="shared" si="16"/>
        <v>0</v>
      </c>
      <c r="AI31" s="36">
        <f t="shared" si="46"/>
        <v>0</v>
      </c>
      <c r="AJ31" s="36">
        <f t="shared" si="47"/>
        <v>0</v>
      </c>
      <c r="AK31" s="36">
        <f t="shared" si="48"/>
        <v>0</v>
      </c>
      <c r="AL31" s="36">
        <f t="shared" ref="AL31" si="256">IF(ISNUMBER(SEARCH("Supply",B31)),(N31+P31+R31+T31)*$AL$10,(N31+P31+R31+T31)*0%)</f>
        <v>0</v>
      </c>
      <c r="AM31" s="36">
        <f t="shared" ref="AM31" si="257">AL31*C31</f>
        <v>0</v>
      </c>
      <c r="AN31" s="37">
        <f t="shared" ref="AN31" si="258">IF(OR(ISNUMBER(SEARCH("Installation",B31)), ISNUMBER(SEARCH("Testing",B31)),ISNUMBER(SEARCH("Commissioning",B31)),),(V31+X31+Z31+AB31+AD31+AF31+AH31)*$AN$10, (V31+X31+Z31+AB31+AD31+AF31+AH31)*0%)</f>
        <v>0</v>
      </c>
      <c r="AO31" s="37">
        <f t="shared" si="49"/>
        <v>0</v>
      </c>
      <c r="AP31" s="37">
        <f t="shared" si="50"/>
        <v>0</v>
      </c>
      <c r="AQ31" s="37">
        <f t="shared" si="51"/>
        <v>0</v>
      </c>
      <c r="AR31" s="37">
        <f t="shared" si="52"/>
        <v>0</v>
      </c>
      <c r="AS31" s="29">
        <f t="shared" si="53"/>
        <v>0</v>
      </c>
      <c r="AT31" s="37">
        <f t="shared" si="54"/>
        <v>0</v>
      </c>
      <c r="AU31" s="29">
        <f t="shared" si="55"/>
        <v>0</v>
      </c>
    </row>
    <row r="32" spans="1:47" ht="20" thickBot="1" x14ac:dyDescent="0.35">
      <c r="A32" s="100"/>
      <c r="B32" s="133" t="s">
        <v>143</v>
      </c>
      <c r="C32" s="133"/>
      <c r="D32" s="133"/>
      <c r="E32" s="133"/>
      <c r="F32" s="91">
        <f>F31</f>
        <v>0</v>
      </c>
      <c r="G32" s="90"/>
      <c r="H32" s="91">
        <f>H31</f>
        <v>0</v>
      </c>
      <c r="I32" s="101">
        <f>F32+H32</f>
        <v>0</v>
      </c>
      <c r="J32" s="65"/>
      <c r="K32" s="33"/>
      <c r="L32" s="197"/>
      <c r="M32" s="34"/>
      <c r="N32" s="35"/>
      <c r="O32" s="72" t="e">
        <f>SUM(O11:O31)</f>
        <v>#VALUE!</v>
      </c>
      <c r="P32" s="35"/>
      <c r="Q32" s="38" t="e">
        <f ca="1">SUM(Q11:Q31)</f>
        <v>#VALUE!</v>
      </c>
      <c r="R32" s="35"/>
      <c r="S32" s="72" t="e">
        <f>SUM(S11:S31)</f>
        <v>#VALUE!</v>
      </c>
      <c r="T32" s="35"/>
      <c r="U32" s="72" t="e">
        <f>SUM(U11:U31)</f>
        <v>#VALUE!</v>
      </c>
      <c r="V32" s="36"/>
      <c r="W32" s="38" t="e">
        <f>SUM(W11:W31)</f>
        <v>#VALUE!</v>
      </c>
      <c r="X32" s="36"/>
      <c r="Y32" s="38" t="e">
        <f>SUM(Y11:Y31)</f>
        <v>#VALUE!</v>
      </c>
      <c r="Z32" s="36"/>
      <c r="AA32" s="38" t="e">
        <f>SUM(AA11:AA31)</f>
        <v>#VALUE!</v>
      </c>
      <c r="AB32" s="36"/>
      <c r="AC32" s="38" t="e">
        <f>SUM(AC11:AC31)</f>
        <v>#VALUE!</v>
      </c>
      <c r="AD32" s="36"/>
      <c r="AE32" s="38" t="e">
        <f>SUM(AE11:AE31)</f>
        <v>#VALUE!</v>
      </c>
      <c r="AF32" s="36"/>
      <c r="AG32" s="38" t="e">
        <f>SUM(AG11:AG31)</f>
        <v>#VALUE!</v>
      </c>
      <c r="AH32" s="36"/>
      <c r="AI32" s="38" t="e">
        <f>SUM(AI11:AI31)</f>
        <v>#VALUE!</v>
      </c>
      <c r="AJ32" s="36"/>
      <c r="AK32" s="38" t="e">
        <f ca="1">SUM(AK11:AK31)</f>
        <v>#VALUE!</v>
      </c>
      <c r="AL32" s="36"/>
      <c r="AM32" s="38" t="e">
        <f ca="1">SUM(AM11:AM31)</f>
        <v>#VALUE!</v>
      </c>
      <c r="AN32" s="37"/>
      <c r="AO32" s="38" t="e">
        <f>SUM(AO11:AO31)</f>
        <v>#VALUE!</v>
      </c>
      <c r="AP32" s="37"/>
      <c r="AQ32" s="38" t="e">
        <f ca="1">SUM(AQ11:AQ31)</f>
        <v>#VALUE!</v>
      </c>
      <c r="AR32" s="37"/>
      <c r="AS32" s="38" t="e">
        <f ca="1">SUM(AS11:AS31)</f>
        <v>#VALUE!</v>
      </c>
      <c r="AT32" s="37"/>
      <c r="AU32" s="38" t="e">
        <f ca="1">SUM(AU11:AU31)</f>
        <v>#VALUE!</v>
      </c>
    </row>
    <row r="33" spans="1:47" ht="18" customHeight="1" x14ac:dyDescent="0.3">
      <c r="A33" s="181" t="s">
        <v>161</v>
      </c>
      <c r="B33" s="182"/>
      <c r="C33" s="132" t="s">
        <v>138</v>
      </c>
      <c r="D33" s="132"/>
      <c r="E33" s="132"/>
      <c r="F33" s="93">
        <f>F32*18%</f>
        <v>0</v>
      </c>
      <c r="G33" s="92" t="s">
        <v>158</v>
      </c>
      <c r="H33" s="93">
        <f>H32*16%</f>
        <v>0</v>
      </c>
      <c r="I33" s="102">
        <f>F33+H33</f>
        <v>0</v>
      </c>
      <c r="J33" s="64"/>
      <c r="K33" s="47"/>
      <c r="L33" s="48"/>
      <c r="M33" s="40"/>
      <c r="N33" s="40"/>
      <c r="O33" s="49"/>
      <c r="P33" s="40"/>
      <c r="Q33" s="49"/>
      <c r="R33" s="40"/>
      <c r="S33" s="49"/>
      <c r="T33" s="40"/>
      <c r="U33" s="49"/>
      <c r="V33" s="50"/>
      <c r="W33" s="49"/>
      <c r="X33" s="50"/>
      <c r="Y33" s="49"/>
      <c r="Z33" s="50"/>
      <c r="AA33" s="49"/>
      <c r="AB33" s="50"/>
      <c r="AC33" s="49"/>
      <c r="AD33" s="50"/>
      <c r="AE33" s="49"/>
      <c r="AF33" s="50"/>
      <c r="AG33" s="49"/>
      <c r="AH33" s="50"/>
      <c r="AI33" s="49"/>
      <c r="AJ33" s="50"/>
      <c r="AK33" s="49"/>
      <c r="AL33" s="50"/>
      <c r="AM33" s="49"/>
      <c r="AN33" s="50"/>
      <c r="AO33" s="49"/>
      <c r="AP33" s="50"/>
      <c r="AQ33" s="49"/>
      <c r="AR33" s="50"/>
      <c r="AS33" s="49"/>
      <c r="AT33" s="50"/>
      <c r="AU33" s="49"/>
    </row>
    <row r="34" spans="1:47" ht="16.5" hidden="1" customHeight="1" thickBot="1" x14ac:dyDescent="0.35">
      <c r="A34" s="181"/>
      <c r="B34" s="182"/>
      <c r="C34" s="132" t="s">
        <v>139</v>
      </c>
      <c r="D34" s="132"/>
      <c r="E34" s="132"/>
      <c r="F34" s="94">
        <f>F33+F32</f>
        <v>0</v>
      </c>
      <c r="G34" s="92" t="s">
        <v>159</v>
      </c>
      <c r="H34" s="94">
        <f>H33+H32</f>
        <v>0</v>
      </c>
      <c r="I34" s="103">
        <f>F34+H34</f>
        <v>0</v>
      </c>
      <c r="J34" s="64"/>
      <c r="K34" s="47"/>
      <c r="L34" s="48"/>
      <c r="M34" s="40" t="e">
        <f>#REF!/#REF!</f>
        <v>#REF!</v>
      </c>
      <c r="N34" s="40"/>
      <c r="O34" s="49"/>
      <c r="P34" s="40"/>
      <c r="Q34" s="49"/>
      <c r="R34" s="40"/>
      <c r="S34" s="49"/>
      <c r="T34" s="40"/>
      <c r="U34" s="49"/>
      <c r="V34" s="50"/>
      <c r="W34" s="49"/>
      <c r="X34" s="50"/>
      <c r="Y34" s="49"/>
      <c r="Z34" s="50"/>
      <c r="AA34" s="49"/>
      <c r="AB34" s="50"/>
      <c r="AC34" s="49"/>
      <c r="AD34" s="50"/>
      <c r="AE34" s="49"/>
      <c r="AF34" s="50"/>
      <c r="AG34" s="49"/>
      <c r="AH34" s="50"/>
      <c r="AI34" s="49"/>
      <c r="AJ34" s="50"/>
      <c r="AK34" s="49"/>
      <c r="AL34" s="50"/>
      <c r="AM34" s="49"/>
      <c r="AN34" s="50"/>
      <c r="AO34" s="49"/>
      <c r="AP34" s="50"/>
      <c r="AQ34" s="49"/>
      <c r="AR34" s="50"/>
      <c r="AS34" s="49"/>
      <c r="AT34" s="50"/>
      <c r="AU34" s="49"/>
    </row>
    <row r="35" spans="1:47" ht="16.5" hidden="1" customHeight="1" thickBot="1" x14ac:dyDescent="0.35">
      <c r="A35" s="181"/>
      <c r="B35" s="182"/>
      <c r="C35" s="132" t="s">
        <v>141</v>
      </c>
      <c r="D35" s="132"/>
      <c r="E35" s="132"/>
      <c r="F35" s="93">
        <f>F34*5%*0</f>
        <v>0</v>
      </c>
      <c r="G35" s="95"/>
      <c r="H35" s="93">
        <f>H34*5%*0</f>
        <v>0</v>
      </c>
      <c r="I35" s="102">
        <f>F35+H35</f>
        <v>0</v>
      </c>
      <c r="J35" s="64"/>
      <c r="K35" s="47"/>
      <c r="L35" s="48"/>
      <c r="M35" s="40"/>
      <c r="N35" s="40"/>
      <c r="O35" s="49"/>
      <c r="P35" s="40"/>
      <c r="Q35" s="49"/>
      <c r="R35" s="40"/>
      <c r="S35" s="49"/>
      <c r="T35" s="40"/>
      <c r="U35" s="49"/>
      <c r="V35" s="50"/>
      <c r="W35" s="49"/>
      <c r="X35" s="50"/>
      <c r="Y35" s="49"/>
      <c r="Z35" s="50"/>
      <c r="AA35" s="49"/>
      <c r="AB35" s="50"/>
      <c r="AC35" s="49"/>
      <c r="AD35" s="50"/>
      <c r="AE35" s="49"/>
      <c r="AF35" s="50"/>
      <c r="AG35" s="49"/>
      <c r="AH35" s="50"/>
      <c r="AI35" s="49"/>
      <c r="AJ35" s="50"/>
      <c r="AK35" s="49"/>
      <c r="AL35" s="50"/>
      <c r="AM35" s="49"/>
      <c r="AN35" s="50"/>
      <c r="AO35" s="49"/>
      <c r="AP35" s="50"/>
      <c r="AQ35" s="49"/>
      <c r="AR35" s="50"/>
      <c r="AS35" s="49"/>
      <c r="AT35" s="50"/>
      <c r="AU35" s="49"/>
    </row>
    <row r="36" spans="1:47" ht="25" thickBot="1" x14ac:dyDescent="0.35">
      <c r="A36" s="183"/>
      <c r="B36" s="184"/>
      <c r="C36" s="134" t="s">
        <v>142</v>
      </c>
      <c r="D36" s="134"/>
      <c r="E36" s="134"/>
      <c r="F36" s="104">
        <f>F34-F35</f>
        <v>0</v>
      </c>
      <c r="G36" s="105"/>
      <c r="H36" s="104">
        <f>H34-H35</f>
        <v>0</v>
      </c>
      <c r="I36" s="106">
        <f>H36+F36</f>
        <v>0</v>
      </c>
      <c r="J36" s="51"/>
      <c r="K36" s="47"/>
      <c r="L36" s="48"/>
      <c r="M36" s="40"/>
      <c r="N36" s="40"/>
      <c r="O36" s="49"/>
      <c r="P36" s="40"/>
      <c r="Q36" s="49"/>
      <c r="R36" s="40"/>
      <c r="S36" s="49"/>
      <c r="T36" s="40"/>
      <c r="U36" s="49"/>
      <c r="V36" s="50"/>
      <c r="W36" s="49"/>
      <c r="X36" s="50"/>
      <c r="Y36" s="49"/>
      <c r="Z36" s="50"/>
      <c r="AA36" s="49"/>
      <c r="AB36" s="50"/>
      <c r="AC36" s="49"/>
      <c r="AD36" s="50"/>
      <c r="AE36" s="49"/>
      <c r="AF36" s="50"/>
      <c r="AG36" s="49"/>
      <c r="AH36" s="50"/>
      <c r="AI36" s="49"/>
      <c r="AJ36" s="50"/>
      <c r="AK36" s="49"/>
      <c r="AL36" s="50"/>
      <c r="AM36" s="49"/>
      <c r="AN36" s="50"/>
      <c r="AO36" s="49"/>
      <c r="AP36" s="50"/>
      <c r="AQ36" s="49"/>
      <c r="AR36" s="50"/>
      <c r="AS36" s="49"/>
      <c r="AT36" s="50"/>
      <c r="AU36" s="49"/>
    </row>
    <row r="37" spans="1:47" ht="20" thickBot="1" x14ac:dyDescent="0.35">
      <c r="D37" s="180"/>
      <c r="E37" s="180"/>
      <c r="F37" s="55"/>
      <c r="G37" s="131"/>
      <c r="H37" s="131"/>
      <c r="I37" s="56"/>
      <c r="J37" s="52"/>
      <c r="K37" s="40"/>
      <c r="L37" s="40"/>
      <c r="O37" s="41" t="e">
        <f>O32/$I$32</f>
        <v>#VALUE!</v>
      </c>
      <c r="Q37" s="41" t="e">
        <f ca="1">Q32/$I$32</f>
        <v>#VALUE!</v>
      </c>
      <c r="S37" s="41" t="e">
        <f>S32/$I$32</f>
        <v>#VALUE!</v>
      </c>
      <c r="U37" s="41" t="e">
        <f>U32/$I$32</f>
        <v>#VALUE!</v>
      </c>
      <c r="W37" s="41" t="e">
        <f>W32/$I$32</f>
        <v>#VALUE!</v>
      </c>
      <c r="Y37" s="41" t="e">
        <f>Y32/$I$32</f>
        <v>#VALUE!</v>
      </c>
      <c r="AA37" s="41" t="e">
        <f>AA32/$I$32</f>
        <v>#VALUE!</v>
      </c>
      <c r="AC37" s="41" t="e">
        <f>AC32/$I$32</f>
        <v>#VALUE!</v>
      </c>
      <c r="AE37" s="41" t="e">
        <f>AE32/$I$32</f>
        <v>#VALUE!</v>
      </c>
      <c r="AG37" s="41" t="e">
        <f>AG32/$I$32</f>
        <v>#VALUE!</v>
      </c>
      <c r="AI37" s="41" t="e">
        <f>AI32/$I$32</f>
        <v>#VALUE!</v>
      </c>
      <c r="AK37" s="41" t="e">
        <f ca="1">AK32/$I$32</f>
        <v>#VALUE!</v>
      </c>
      <c r="AM37" s="41" t="e">
        <f ca="1">AM32/$I$32</f>
        <v>#VALUE!</v>
      </c>
      <c r="AO37" s="41" t="e">
        <f>AO32/$I$32</f>
        <v>#VALUE!</v>
      </c>
      <c r="AQ37" s="41" t="e">
        <f ca="1">AQ32/$I$32</f>
        <v>#VALUE!</v>
      </c>
      <c r="AS37" s="41" t="e">
        <f ca="1">AS32/$I$32</f>
        <v>#VALUE!</v>
      </c>
      <c r="AT37" s="3"/>
      <c r="AU37" s="41" t="e">
        <f ca="1">AU32/$I$32</f>
        <v>#VALUE!</v>
      </c>
    </row>
    <row r="38" spans="1:47" ht="25" thickBot="1" x14ac:dyDescent="0.35">
      <c r="A38" s="149" t="s">
        <v>62</v>
      </c>
      <c r="B38" s="150"/>
      <c r="C38" s="150"/>
      <c r="D38" s="151"/>
      <c r="E38" s="151"/>
      <c r="F38" s="150"/>
      <c r="G38" s="150"/>
      <c r="H38" s="150"/>
      <c r="I38" s="152"/>
      <c r="J38" s="52"/>
      <c r="K38" s="40"/>
      <c r="L38" s="40"/>
    </row>
    <row r="39" spans="1:47" ht="15" x14ac:dyDescent="0.3">
      <c r="A39" s="143" t="s">
        <v>63</v>
      </c>
      <c r="B39" s="144"/>
      <c r="C39" s="144"/>
      <c r="D39" s="144"/>
      <c r="E39" s="144"/>
      <c r="F39" s="144"/>
      <c r="G39" s="144"/>
      <c r="H39" s="144"/>
      <c r="I39" s="145"/>
      <c r="J39" s="52"/>
      <c r="K39" s="40"/>
      <c r="L39" s="40"/>
    </row>
    <row r="40" spans="1:47" ht="16" x14ac:dyDescent="0.3">
      <c r="A40" s="140" t="str">
        <f>" -  Price are as per actual basis."</f>
        <v xml:space="preserve"> -  Price are as per actual basis.</v>
      </c>
      <c r="B40" s="141"/>
      <c r="C40" s="141"/>
      <c r="D40" s="141"/>
      <c r="E40" s="141"/>
      <c r="F40" s="141"/>
      <c r="G40" s="141"/>
      <c r="H40" s="141"/>
      <c r="I40" s="142"/>
      <c r="J40" s="52"/>
      <c r="K40" s="40"/>
      <c r="L40" s="40"/>
    </row>
    <row r="41" spans="1:47" ht="15" x14ac:dyDescent="0.3">
      <c r="A41" s="146" t="str">
        <f>" -  GST Tax is mentioned separately on Supply Rates"</f>
        <v xml:space="preserve"> -  GST Tax is mentioned separately on Supply Rates</v>
      </c>
      <c r="B41" s="147"/>
      <c r="C41" s="147"/>
      <c r="D41" s="147"/>
      <c r="E41" s="147"/>
      <c r="F41" s="147"/>
      <c r="G41" s="147"/>
      <c r="H41" s="147"/>
      <c r="I41" s="148"/>
      <c r="J41" s="52"/>
      <c r="K41" s="40"/>
      <c r="L41" s="40"/>
    </row>
    <row r="42" spans="1:47" ht="15" hidden="1" x14ac:dyDescent="0.3">
      <c r="A42" s="146" t="str">
        <f>" -  Service Tax is mentioned separately on Installation Rates."</f>
        <v xml:space="preserve"> -  Service Tax is mentioned separately on Installation Rates.</v>
      </c>
      <c r="B42" s="147"/>
      <c r="C42" s="147"/>
      <c r="D42" s="147"/>
      <c r="E42" s="147"/>
      <c r="F42" s="147"/>
      <c r="G42" s="147"/>
      <c r="H42" s="147"/>
      <c r="I42" s="148"/>
      <c r="J42" s="52"/>
      <c r="K42" s="40"/>
      <c r="L42" s="40"/>
    </row>
    <row r="43" spans="1:47" ht="15" x14ac:dyDescent="0.3">
      <c r="A43" s="146" t="str">
        <f>" -  Currency : Unit of Currency of this quotations is PKR ."</f>
        <v xml:space="preserve"> -  Currency : Unit of Currency of this quotations is PKR .</v>
      </c>
      <c r="B43" s="147"/>
      <c r="C43" s="147"/>
      <c r="D43" s="147"/>
      <c r="E43" s="147"/>
      <c r="F43" s="147"/>
      <c r="G43" s="147"/>
      <c r="H43" s="147"/>
      <c r="I43" s="148"/>
      <c r="J43" s="52"/>
      <c r="K43" s="40"/>
      <c r="L43" s="40"/>
    </row>
    <row r="44" spans="1:47" ht="15" x14ac:dyDescent="0.3">
      <c r="A44" s="177" t="str">
        <f>" - Payment :  30% Advance Payment and 60% on Order Confirmation and 10% on Delivery."</f>
        <v xml:space="preserve"> - Payment :  30% Advance Payment and 60% on Order Confirmation and 10% on Delivery.</v>
      </c>
      <c r="B44" s="178"/>
      <c r="C44" s="178"/>
      <c r="D44" s="178"/>
      <c r="E44" s="178"/>
      <c r="F44" s="178"/>
      <c r="G44" s="178"/>
      <c r="H44" s="178"/>
      <c r="I44" s="179"/>
      <c r="J44" s="52"/>
      <c r="K44" s="40"/>
      <c r="L44" s="40"/>
    </row>
    <row r="45" spans="1:47" ht="15" hidden="1" x14ac:dyDescent="0.3">
      <c r="A45" s="177" t="str">
        <f>" -  Payment :  100% Advance Payment after Order Confirmation and Advance Payment."</f>
        <v xml:space="preserve"> -  Payment :  100% Advance Payment after Order Confirmation and Advance Payment.</v>
      </c>
      <c r="B45" s="178"/>
      <c r="C45" s="178"/>
      <c r="D45" s="178"/>
      <c r="E45" s="178"/>
      <c r="F45" s="178"/>
      <c r="G45" s="178"/>
      <c r="H45" s="178"/>
      <c r="I45" s="179"/>
      <c r="J45" s="52"/>
      <c r="K45" s="40"/>
      <c r="L45" s="40"/>
    </row>
    <row r="46" spans="1:47" ht="15" x14ac:dyDescent="0.3">
      <c r="A46" s="153" t="s">
        <v>64</v>
      </c>
      <c r="B46" s="154"/>
      <c r="C46" s="154"/>
      <c r="D46" s="154"/>
      <c r="E46" s="154"/>
      <c r="F46" s="154"/>
      <c r="G46" s="154"/>
      <c r="H46" s="154"/>
      <c r="I46" s="155"/>
      <c r="J46" s="52"/>
      <c r="K46" s="40"/>
      <c r="L46" s="40"/>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row>
    <row r="47" spans="1:47" ht="15" x14ac:dyDescent="0.3">
      <c r="A47" s="158" t="str">
        <f>" -  Stock Available in EX Pakistan."</f>
        <v xml:space="preserve"> -  Stock Available in EX Pakistan.</v>
      </c>
      <c r="B47" s="159"/>
      <c r="C47" s="159"/>
      <c r="D47" s="159"/>
      <c r="E47" s="159"/>
      <c r="F47" s="159"/>
      <c r="G47" s="159"/>
      <c r="H47" s="159"/>
      <c r="I47" s="160"/>
      <c r="J47" s="52"/>
      <c r="K47" s="40"/>
      <c r="L47" s="40"/>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7" ht="15" x14ac:dyDescent="0.3">
      <c r="A48" s="158" t="str">
        <f>" -  Items will be delivered in 8 to 12 working weeks after order confirmation."</f>
        <v xml:space="preserve"> -  Items will be delivered in 8 to 12 working weeks after order confirmation.</v>
      </c>
      <c r="B48" s="159"/>
      <c r="C48" s="159"/>
      <c r="D48" s="159"/>
      <c r="E48" s="159"/>
      <c r="F48" s="159"/>
      <c r="G48" s="159"/>
      <c r="H48" s="159"/>
      <c r="I48" s="160"/>
      <c r="J48" s="52"/>
      <c r="K48" s="40"/>
      <c r="L48" s="40"/>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ht="15" x14ac:dyDescent="0.3">
      <c r="A49" s="153" t="s">
        <v>65</v>
      </c>
      <c r="B49" s="154"/>
      <c r="C49" s="154"/>
      <c r="D49" s="154"/>
      <c r="E49" s="154"/>
      <c r="F49" s="154"/>
      <c r="G49" s="154"/>
      <c r="H49" s="154"/>
      <c r="I49" s="155"/>
      <c r="J49" s="52"/>
      <c r="K49" s="40"/>
      <c r="L49" s="40"/>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ht="31.5" customHeight="1" x14ac:dyDescent="0.3">
      <c r="A50" s="140" t="str">
        <f>" -  This Warranty covers the defects resulting from defective parts, items, materials or manufacturing if such defects are revealed during the period of 12 months since the date of purchase."</f>
        <v xml:space="preserve"> -  This Warranty covers the defects resulting from defective parts, items, materials or manufacturing if such defects are revealed during the period of 12 months since the date of purchase.</v>
      </c>
      <c r="B50" s="141"/>
      <c r="C50" s="141"/>
      <c r="D50" s="141"/>
      <c r="E50" s="141"/>
      <c r="F50" s="141"/>
      <c r="G50" s="141"/>
      <c r="H50" s="141"/>
      <c r="I50" s="142"/>
      <c r="J50" s="52"/>
      <c r="K50" s="40"/>
      <c r="L50" s="40"/>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ht="17.25" customHeight="1" x14ac:dyDescent="0.3">
      <c r="A51" s="140" t="str">
        <f>" -  The Warranty does not cover consumables or parts of limited regular functionality due to their natural wear and tear."</f>
        <v xml:space="preserve"> -  The Warranty does not cover consumables or parts of limited regular functionality due to their natural wear and tear.</v>
      </c>
      <c r="B51" s="141"/>
      <c r="C51" s="141"/>
      <c r="D51" s="141"/>
      <c r="E51" s="141"/>
      <c r="F51" s="141"/>
      <c r="G51" s="141"/>
      <c r="H51" s="141"/>
      <c r="I51" s="142"/>
      <c r="J51" s="52"/>
      <c r="K51" s="40"/>
      <c r="L51" s="40"/>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ht="32.25" customHeight="1" x14ac:dyDescent="0.3">
      <c r="A52" s="140" t="str">
        <f>" -  The Warranty does not cover Damages: Mechanical or electric damages resulting from incorrect installation, configuration, usage,"&amp;" Improper Maintenance or other activities incompatible with the operation manual or contradictory to technical specifications of the product."</f>
        <v xml:space="preserve"> -  The Warranty does not cover Damages: Mechanical or electric damages resulting from incorrect installation, configuration, usage, Improper Maintenance or other activities incompatible with the operation manual or contradictory to technical specifications of the product.</v>
      </c>
      <c r="B52" s="141"/>
      <c r="C52" s="141"/>
      <c r="D52" s="141"/>
      <c r="E52" s="141"/>
      <c r="F52" s="141"/>
      <c r="G52" s="141"/>
      <c r="H52" s="141"/>
      <c r="I52" s="142"/>
      <c r="J52" s="52"/>
      <c r="K52" s="40"/>
      <c r="L52" s="40"/>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ht="35.25" customHeight="1" x14ac:dyDescent="0.3">
      <c r="A53" s="140" t="str">
        <f>" -  The Warranty does not cover Damages caused by acts of God, floods, fires, lighting or other natural disasters, wars, unexpected events, inappropriate voltage or other external factors"</f>
        <v xml:space="preserve"> -  The Warranty does not cover Damages caused by acts of God, floods, fires, lighting or other natural disasters, wars, unexpected events, inappropriate voltage or other external factors</v>
      </c>
      <c r="B53" s="141"/>
      <c r="C53" s="141"/>
      <c r="D53" s="141"/>
      <c r="E53" s="141"/>
      <c r="F53" s="141"/>
      <c r="G53" s="141"/>
      <c r="H53" s="141"/>
      <c r="I53" s="142"/>
      <c r="J53" s="52"/>
      <c r="K53" s="40"/>
      <c r="L53" s="40"/>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ht="16" x14ac:dyDescent="0.3">
      <c r="A54" s="140" t="str">
        <f>" -  The Warranty does not cover Damages result as a result of using chemical cleaning materials made."</f>
        <v xml:space="preserve"> -  The Warranty does not cover Damages result as a result of using chemical cleaning materials made.</v>
      </c>
      <c r="B54" s="141"/>
      <c r="C54" s="141"/>
      <c r="D54" s="141"/>
      <c r="E54" s="141"/>
      <c r="F54" s="141"/>
      <c r="G54" s="141"/>
      <c r="H54" s="141"/>
      <c r="I54" s="142"/>
      <c r="J54" s="52"/>
      <c r="K54" s="40"/>
      <c r="L54" s="40"/>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ht="15" x14ac:dyDescent="0.3">
      <c r="A55" s="153" t="s">
        <v>66</v>
      </c>
      <c r="B55" s="154"/>
      <c r="C55" s="154"/>
      <c r="D55" s="154"/>
      <c r="E55" s="154"/>
      <c r="F55" s="154"/>
      <c r="G55" s="154"/>
      <c r="H55" s="154"/>
      <c r="I55" s="155"/>
      <c r="J55" s="52"/>
      <c r="K55" s="40"/>
      <c r="L55" s="40"/>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ht="16" x14ac:dyDescent="0.3">
      <c r="A56" s="140" t="str">
        <f>" -  Quotation validity is 20 days. "</f>
        <v xml:space="preserve"> -  Quotation validity is 20 days. </v>
      </c>
      <c r="B56" s="141"/>
      <c r="C56" s="141"/>
      <c r="D56" s="141"/>
      <c r="E56" s="141"/>
      <c r="F56" s="141"/>
      <c r="G56" s="141"/>
      <c r="H56" s="141"/>
      <c r="I56" s="142"/>
      <c r="J56" s="52"/>
      <c r="K56" s="40">
        <v>100100101010</v>
      </c>
      <c r="L56" s="40"/>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ht="16" x14ac:dyDescent="0.3">
      <c r="A57" s="140" t="str">
        <f>" -  Due to currency devaluation, Seller will reserve the right to adjust their prices if the exchange rate varies greater than +1% of the Quotation Value."</f>
        <v xml:space="preserve"> -  Due to currency devaluation, Seller will reserve the right to adjust their prices if the exchange rate varies greater than +1% of the Quotation Value.</v>
      </c>
      <c r="B57" s="141"/>
      <c r="C57" s="141"/>
      <c r="D57" s="141"/>
      <c r="E57" s="141"/>
      <c r="F57" s="141"/>
      <c r="G57" s="141"/>
      <c r="H57" s="141"/>
      <c r="I57" s="142"/>
      <c r="J57" s="52"/>
      <c r="K57" s="40"/>
      <c r="L57" s="40"/>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16" x14ac:dyDescent="0.3">
      <c r="A58" s="140"/>
      <c r="B58" s="141"/>
      <c r="C58" s="141"/>
      <c r="D58" s="141"/>
      <c r="E58" s="141"/>
      <c r="F58" s="141"/>
      <c r="G58" s="141"/>
      <c r="H58" s="141"/>
      <c r="I58" s="142"/>
      <c r="J58" s="52"/>
      <c r="K58" s="40"/>
      <c r="L58" s="40"/>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15" x14ac:dyDescent="0.3">
      <c r="A59" s="153" t="s">
        <v>67</v>
      </c>
      <c r="B59" s="154"/>
      <c r="C59" s="154"/>
      <c r="D59" s="154"/>
      <c r="E59" s="154"/>
      <c r="F59" s="154"/>
      <c r="G59" s="154"/>
      <c r="H59" s="154"/>
      <c r="I59" s="155"/>
      <c r="J59" s="52"/>
      <c r="K59" s="40"/>
      <c r="L59" s="40"/>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ht="15" x14ac:dyDescent="0.3">
      <c r="A60" s="158" t="str">
        <f>" -  Prices Equipments are for Ex-Karachi. Any further transportation from Karachi to Turbat will be in client's scope. "</f>
        <v xml:space="preserve"> -  Prices Equipments are for Ex-Karachi. Any further transportation from Karachi to Turbat will be in client's scope. </v>
      </c>
      <c r="B60" s="159"/>
      <c r="C60" s="159"/>
      <c r="D60" s="159"/>
      <c r="E60" s="159"/>
      <c r="F60" s="159"/>
      <c r="G60" s="159"/>
      <c r="H60" s="159"/>
      <c r="I60" s="160"/>
      <c r="J60" s="52"/>
      <c r="K60" s="40"/>
      <c r="L60" s="40"/>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ht="16" x14ac:dyDescent="0.3">
      <c r="A61" s="140" t="str">
        <f>" -  Power for the Work at Site will be in client's scope. "</f>
        <v xml:space="preserve"> -  Power for the Work at Site will be in client's scope. </v>
      </c>
      <c r="B61" s="141"/>
      <c r="C61" s="141"/>
      <c r="D61" s="141"/>
      <c r="E61" s="141"/>
      <c r="F61" s="141"/>
      <c r="G61" s="141"/>
      <c r="H61" s="141"/>
      <c r="I61" s="142"/>
      <c r="J61" s="52"/>
      <c r="K61" s="40"/>
      <c r="L61" s="40"/>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15" x14ac:dyDescent="0.3">
      <c r="A62" s="158" t="str">
        <f>" -  Travelling and Residence of Team from Karachi to Turbat will be in client's scope. "</f>
        <v xml:space="preserve"> -  Travelling and Residence of Team from Karachi to Turbat will be in client's scope. </v>
      </c>
      <c r="B62" s="159"/>
      <c r="C62" s="159"/>
      <c r="D62" s="159"/>
      <c r="E62" s="159"/>
      <c r="F62" s="159"/>
      <c r="G62" s="159"/>
      <c r="H62" s="159"/>
      <c r="I62" s="160"/>
      <c r="J62" s="52"/>
      <c r="K62" s="40"/>
      <c r="L62" s="40"/>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16" x14ac:dyDescent="0.3">
      <c r="A63" s="140" t="str">
        <f>" -  Continuous Supply of Storage will be in client's scope. "</f>
        <v xml:space="preserve"> -  Continuous Supply of Storage will be in client's scope. </v>
      </c>
      <c r="B63" s="141"/>
      <c r="C63" s="141"/>
      <c r="D63" s="141"/>
      <c r="E63" s="141"/>
      <c r="F63" s="141"/>
      <c r="G63" s="141"/>
      <c r="H63" s="141"/>
      <c r="I63" s="142"/>
      <c r="J63" s="52"/>
      <c r="K63" s="40"/>
      <c r="L63" s="40"/>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ht="15" x14ac:dyDescent="0.3">
      <c r="A64" s="153" t="s">
        <v>69</v>
      </c>
      <c r="B64" s="154"/>
      <c r="C64" s="154"/>
      <c r="D64" s="154"/>
      <c r="E64" s="154"/>
      <c r="F64" s="154"/>
      <c r="G64" s="154"/>
      <c r="H64" s="154"/>
      <c r="I64" s="155"/>
      <c r="J64" s="52"/>
      <c r="K64" s="40"/>
      <c r="L64" s="40"/>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ht="16" x14ac:dyDescent="0.3">
      <c r="A65" s="140" t="str">
        <f>" -  After placing the Purchase Order, Any item if cancelled by client, 30% of its value shall be charged conditioned with MyTech acceptance on the same."</f>
        <v xml:space="preserve"> -  After placing the Purchase Order, Any item if cancelled by client, 30% of its value shall be charged conditioned with MyTech acceptance on the same.</v>
      </c>
      <c r="B65" s="141"/>
      <c r="C65" s="141"/>
      <c r="D65" s="141"/>
      <c r="E65" s="141"/>
      <c r="F65" s="141"/>
      <c r="G65" s="141"/>
      <c r="H65" s="141"/>
      <c r="I65" s="142"/>
      <c r="J65" s="52"/>
      <c r="K65" s="40"/>
      <c r="L65" s="40"/>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16" x14ac:dyDescent="0.3">
      <c r="A66" s="140" t="str">
        <f>" -  The Prices in the above Quotation are based on Total Purchase, No Partial Purchase shall be accepted."</f>
        <v xml:space="preserve"> -  The Prices in the above Quotation are based on Total Purchase, No Partial Purchase shall be accepted.</v>
      </c>
      <c r="B66" s="141"/>
      <c r="C66" s="141"/>
      <c r="D66" s="141"/>
      <c r="E66" s="141"/>
      <c r="F66" s="141"/>
      <c r="G66" s="141"/>
      <c r="H66" s="141"/>
      <c r="I66" s="142"/>
      <c r="J66" s="52"/>
      <c r="K66" s="40"/>
      <c r="L66" s="40"/>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16" x14ac:dyDescent="0.3">
      <c r="A67" s="140" t="str">
        <f>" -  Purchase Orders must contain our Quotation Number for which it is issue."</f>
        <v xml:space="preserve"> -  Purchase Orders must contain our Quotation Number for which it is issue.</v>
      </c>
      <c r="B67" s="141"/>
      <c r="C67" s="141"/>
      <c r="D67" s="141"/>
      <c r="E67" s="141"/>
      <c r="F67" s="141"/>
      <c r="G67" s="141"/>
      <c r="H67" s="141"/>
      <c r="I67" s="142"/>
      <c r="J67" s="52"/>
      <c r="K67" s="40"/>
      <c r="L67" s="40"/>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ht="15" x14ac:dyDescent="0.3">
      <c r="A68" s="153" t="s">
        <v>68</v>
      </c>
      <c r="B68" s="154"/>
      <c r="C68" s="154"/>
      <c r="D68" s="154"/>
      <c r="E68" s="154"/>
      <c r="F68" s="154"/>
      <c r="G68" s="154"/>
      <c r="H68" s="154"/>
      <c r="I68" s="155"/>
      <c r="J68" s="52"/>
      <c r="K68" s="40"/>
      <c r="L68" s="40"/>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row r="69" spans="1:45" ht="16" x14ac:dyDescent="0.3">
      <c r="A69" s="140" t="str">
        <f>" -  If Quotation finally gets the winning marks, then LOI must be shared with us before Purchase Order."</f>
        <v xml:space="preserve"> -  If Quotation finally gets the winning marks, then LOI must be shared with us before Purchase Order.</v>
      </c>
      <c r="B69" s="141"/>
      <c r="C69" s="141"/>
      <c r="D69" s="141"/>
      <c r="E69" s="141"/>
      <c r="F69" s="141"/>
      <c r="G69" s="141"/>
      <c r="H69" s="141"/>
      <c r="I69" s="142"/>
      <c r="J69" s="52"/>
      <c r="K69" s="40"/>
      <c r="L69" s="40"/>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row>
    <row r="70" spans="1:45" ht="35.75" customHeight="1" x14ac:dyDescent="0.3">
      <c r="A70" s="140" t="str">
        <f>" -  This agreement shall be performed by the BUYER and the SUPPLIER with sincerity. Any questions arising in connection with this agreement,"&amp;" which are not resolved by the clauses of this agreement shall be promptly resolved through good faith discussion between both parties so as o reach consensus amicably."</f>
        <v xml:space="preserve"> -  This agreement shall be performed by the BUYER and the SUPPLIER with sincerity. Any questions arising in connection with this agreement, which are not resolved by the clauses of this agreement shall be promptly resolved through good faith discussion between both parties so as o reach consensus amicably.</v>
      </c>
      <c r="B70" s="141"/>
      <c r="C70" s="141"/>
      <c r="D70" s="141"/>
      <c r="E70" s="141"/>
      <c r="F70" s="141"/>
      <c r="G70" s="141"/>
      <c r="H70" s="141"/>
      <c r="I70" s="142"/>
      <c r="J70" s="52"/>
      <c r="K70" s="40"/>
      <c r="L70" s="40"/>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row>
    <row r="71" spans="1:45" ht="16" x14ac:dyDescent="0.3">
      <c r="A71" s="140" t="str">
        <f>" -  This agreement is to be governed by, and interpreted strictly in accordance with the laws of Islamic Republic of Pakistan."</f>
        <v xml:space="preserve"> -  This agreement is to be governed by, and interpreted strictly in accordance with the laws of Islamic Republic of Pakistan.</v>
      </c>
      <c r="B71" s="141"/>
      <c r="C71" s="141"/>
      <c r="D71" s="141"/>
      <c r="E71" s="141"/>
      <c r="F71" s="141"/>
      <c r="G71" s="141"/>
      <c r="H71" s="141"/>
      <c r="I71" s="142"/>
      <c r="J71" s="52"/>
      <c r="K71" s="40"/>
      <c r="L71" s="40"/>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row>
    <row r="72" spans="1:45" ht="28.5" x14ac:dyDescent="0.3">
      <c r="A72" s="156" t="s">
        <v>73</v>
      </c>
      <c r="B72" s="157"/>
      <c r="C72" s="44"/>
      <c r="D72" s="44"/>
      <c r="E72" s="44"/>
      <c r="F72" s="44"/>
      <c r="G72" s="44"/>
      <c r="H72" s="44"/>
      <c r="I72" s="44"/>
      <c r="K72" s="40"/>
      <c r="L72" s="40"/>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row>
    <row r="73" spans="1:45" ht="21" x14ac:dyDescent="0.3">
      <c r="A73" s="138" t="s">
        <v>74</v>
      </c>
      <c r="B73" s="139"/>
      <c r="C73" s="139"/>
      <c r="D73" s="139"/>
      <c r="E73" s="139"/>
      <c r="F73" s="139"/>
      <c r="G73" s="139"/>
      <c r="H73" s="139"/>
      <c r="I73" s="139"/>
      <c r="K73" s="40"/>
      <c r="L73" s="40"/>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row>
    <row r="74" spans="1:45" ht="18" x14ac:dyDescent="0.3">
      <c r="A74" s="164" t="s">
        <v>52</v>
      </c>
      <c r="B74" s="165"/>
      <c r="C74" s="67"/>
      <c r="D74" s="166" t="s">
        <v>53</v>
      </c>
      <c r="E74" s="166"/>
      <c r="F74" s="166"/>
      <c r="G74" s="166"/>
      <c r="H74" s="166"/>
      <c r="I74" s="167"/>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row>
    <row r="75" spans="1:45" ht="18" x14ac:dyDescent="0.3">
      <c r="A75" s="168" t="s">
        <v>54</v>
      </c>
      <c r="B75" s="169"/>
      <c r="C75" s="68"/>
      <c r="D75" s="169" t="s">
        <v>55</v>
      </c>
      <c r="E75" s="169"/>
      <c r="F75" s="169"/>
      <c r="G75" s="169"/>
      <c r="H75" s="169"/>
      <c r="I75" s="170"/>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row>
    <row r="76" spans="1:45" ht="18" x14ac:dyDescent="0.3">
      <c r="A76" s="171" t="s">
        <v>56</v>
      </c>
      <c r="B76" s="172"/>
      <c r="C76" s="69"/>
      <c r="D76" s="172" t="s">
        <v>57</v>
      </c>
      <c r="E76" s="172"/>
      <c r="F76" s="172"/>
      <c r="G76" s="172"/>
      <c r="H76" s="172"/>
      <c r="I76" s="173"/>
      <c r="J76" s="5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row>
    <row r="77" spans="1:45" ht="18" x14ac:dyDescent="0.3">
      <c r="A77" s="174" t="s">
        <v>58</v>
      </c>
      <c r="B77" s="175"/>
      <c r="C77" s="68"/>
      <c r="D77" s="175" t="s">
        <v>59</v>
      </c>
      <c r="E77" s="175"/>
      <c r="F77" s="175"/>
      <c r="G77" s="175"/>
      <c r="H77" s="175"/>
      <c r="I77" s="176"/>
      <c r="J77" s="5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row>
    <row r="78" spans="1:45" ht="18.5" thickBot="1" x14ac:dyDescent="0.35">
      <c r="A78" s="161" t="s">
        <v>60</v>
      </c>
      <c r="B78" s="162"/>
      <c r="C78" s="70"/>
      <c r="D78" s="162" t="s">
        <v>61</v>
      </c>
      <c r="E78" s="162"/>
      <c r="F78" s="162"/>
      <c r="G78" s="162"/>
      <c r="H78" s="162"/>
      <c r="I78" s="163"/>
      <c r="J78" s="5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row>
  </sheetData>
  <autoFilter ref="A9:J57"/>
  <mergeCells count="90">
    <mergeCell ref="C26:D26"/>
    <mergeCell ref="A71:I71"/>
    <mergeCell ref="A69:I69"/>
    <mergeCell ref="A52:I52"/>
    <mergeCell ref="A58:I58"/>
    <mergeCell ref="A49:I49"/>
    <mergeCell ref="A50:I50"/>
    <mergeCell ref="A54:I54"/>
    <mergeCell ref="A53:I53"/>
    <mergeCell ref="A56:I56"/>
    <mergeCell ref="A57:I57"/>
    <mergeCell ref="A70:I70"/>
    <mergeCell ref="A67:I67"/>
    <mergeCell ref="A64:I64"/>
    <mergeCell ref="A59:I59"/>
    <mergeCell ref="A60:I60"/>
    <mergeCell ref="A62:I62"/>
    <mergeCell ref="A45:I45"/>
    <mergeCell ref="A47:I47"/>
    <mergeCell ref="A44:I44"/>
    <mergeCell ref="D37:E37"/>
    <mergeCell ref="A46:I46"/>
    <mergeCell ref="A40:I40"/>
    <mergeCell ref="A42:I42"/>
    <mergeCell ref="A78:B78"/>
    <mergeCell ref="D78:I78"/>
    <mergeCell ref="A74:B74"/>
    <mergeCell ref="D74:I74"/>
    <mergeCell ref="A75:B75"/>
    <mergeCell ref="D75:I75"/>
    <mergeCell ref="A76:B76"/>
    <mergeCell ref="D76:I76"/>
    <mergeCell ref="A77:B77"/>
    <mergeCell ref="D77:I77"/>
    <mergeCell ref="AN8:AO8"/>
    <mergeCell ref="A73:I73"/>
    <mergeCell ref="A61:I61"/>
    <mergeCell ref="A39:I39"/>
    <mergeCell ref="A41:I41"/>
    <mergeCell ref="R8:S8"/>
    <mergeCell ref="A38:I38"/>
    <mergeCell ref="A68:I68"/>
    <mergeCell ref="A65:I65"/>
    <mergeCell ref="A66:I66"/>
    <mergeCell ref="A63:I63"/>
    <mergeCell ref="A43:I43"/>
    <mergeCell ref="A51:I51"/>
    <mergeCell ref="A55:I55"/>
    <mergeCell ref="A72:B72"/>
    <mergeCell ref="A48:I48"/>
    <mergeCell ref="AH8:AI8"/>
    <mergeCell ref="AB8:AC8"/>
    <mergeCell ref="AD8:AE8"/>
    <mergeCell ref="G37:H37"/>
    <mergeCell ref="C33:E33"/>
    <mergeCell ref="B32:E32"/>
    <mergeCell ref="C36:E36"/>
    <mergeCell ref="C34:E34"/>
    <mergeCell ref="C35:E35"/>
    <mergeCell ref="N8:O8"/>
    <mergeCell ref="P8:Q8"/>
    <mergeCell ref="D31:E31"/>
    <mergeCell ref="B10:I10"/>
    <mergeCell ref="A33:B36"/>
    <mergeCell ref="C28:D28"/>
    <mergeCell ref="C29:D29"/>
    <mergeCell ref="AL8:AM8"/>
    <mergeCell ref="T8:U8"/>
    <mergeCell ref="B11:I11"/>
    <mergeCell ref="AT6:AU7"/>
    <mergeCell ref="A7:I8"/>
    <mergeCell ref="K6:U7"/>
    <mergeCell ref="V6:AE7"/>
    <mergeCell ref="AF6:AI7"/>
    <mergeCell ref="AJ6:AK7"/>
    <mergeCell ref="AL6:AO7"/>
    <mergeCell ref="AP6:AQ7"/>
    <mergeCell ref="V8:W8"/>
    <mergeCell ref="X8:Y8"/>
    <mergeCell ref="AF8:AG8"/>
    <mergeCell ref="Z8:AA8"/>
    <mergeCell ref="AR6:AS7"/>
    <mergeCell ref="A2:D2"/>
    <mergeCell ref="E5:I5"/>
    <mergeCell ref="E6:I6"/>
    <mergeCell ref="A3:D3"/>
    <mergeCell ref="A4:D4"/>
    <mergeCell ref="A5:D5"/>
    <mergeCell ref="A6:D6"/>
    <mergeCell ref="E4:I4"/>
  </mergeCells>
  <phoneticPr fontId="51" type="noConversion"/>
  <hyperlinks>
    <hyperlink ref="A78" r:id="rId1"/>
    <hyperlink ref="D78" r:id="rId2"/>
  </hyperlinks>
  <printOptions horizontalCentered="1"/>
  <pageMargins left="0.02" right="0" top="0.74" bottom="0.72" header="0.16" footer="0"/>
  <pageSetup paperSize="9" scale="47" orientation="portrait" r:id="rId3"/>
  <headerFooter>
    <oddHeader>&amp;C&amp;G</oddHeader>
    <oddFooter>&amp;C&amp;G</oddFooter>
  </headerFooter>
  <rowBreaks count="1" manualBreakCount="1">
    <brk id="37" max="8" man="1"/>
  </rowBreaks>
  <colBreaks count="2" manualBreakCount="2">
    <brk id="34" max="1048575" man="1"/>
    <brk id="42" max="1048575" man="1"/>
  </colBreaks>
  <legacyDrawing r:id="rId4"/>
  <legacyDrawingHF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1:G87"/>
  <sheetViews>
    <sheetView topLeftCell="A61" zoomScale="85" zoomScaleNormal="85" workbookViewId="0">
      <selection activeCell="C29" sqref="C29"/>
    </sheetView>
  </sheetViews>
  <sheetFormatPr defaultColWidth="9.296875" defaultRowHeight="13" x14ac:dyDescent="0.3"/>
  <cols>
    <col min="1" max="1" width="9.296875" style="42"/>
    <col min="2" max="2" width="7.3984375" style="42" bestFit="1" customWidth="1"/>
    <col min="3" max="3" width="128.296875" style="42" bestFit="1" customWidth="1"/>
    <col min="4" max="4" width="6.3984375" style="42" bestFit="1" customWidth="1"/>
    <col min="5" max="5" width="6.796875" style="42" bestFit="1" customWidth="1"/>
    <col min="6" max="6" width="20" style="42" bestFit="1" customWidth="1"/>
    <col min="7" max="7" width="18.19921875" style="42" bestFit="1" customWidth="1"/>
    <col min="8" max="16384" width="9.296875" style="42"/>
  </cols>
  <sheetData>
    <row r="1" spans="2:7" ht="13.5" thickBot="1" x14ac:dyDescent="0.35"/>
    <row r="2" spans="2:7" ht="13.5" thickBot="1" x14ac:dyDescent="0.35">
      <c r="B2" s="15" t="s">
        <v>1</v>
      </c>
      <c r="C2" s="16" t="s">
        <v>2</v>
      </c>
      <c r="D2" s="16" t="s">
        <v>3</v>
      </c>
      <c r="E2" s="16" t="s">
        <v>4</v>
      </c>
      <c r="F2" s="16" t="s">
        <v>114</v>
      </c>
      <c r="G2" s="17" t="s">
        <v>115</v>
      </c>
    </row>
    <row r="3" spans="2:7" ht="19.5" x14ac:dyDescent="0.3">
      <c r="B3" s="46" t="s">
        <v>76</v>
      </c>
      <c r="C3" s="188" t="s">
        <v>101</v>
      </c>
      <c r="D3" s="189"/>
      <c r="E3" s="190"/>
      <c r="F3" s="23"/>
      <c r="G3" s="24"/>
    </row>
    <row r="4" spans="2:7" x14ac:dyDescent="0.3">
      <c r="B4" s="22" t="s">
        <v>77</v>
      </c>
      <c r="C4" s="45" t="s">
        <v>116</v>
      </c>
      <c r="D4" s="43">
        <v>1</v>
      </c>
      <c r="E4" s="43" t="s">
        <v>75</v>
      </c>
      <c r="F4" s="57">
        <v>0</v>
      </c>
      <c r="G4" s="58">
        <f>F4*D4</f>
        <v>0</v>
      </c>
    </row>
    <row r="5" spans="2:7" x14ac:dyDescent="0.3">
      <c r="B5" s="22" t="s">
        <v>78</v>
      </c>
      <c r="C5" s="45" t="s">
        <v>117</v>
      </c>
      <c r="D5" s="43">
        <v>2</v>
      </c>
      <c r="E5" s="43" t="s">
        <v>75</v>
      </c>
      <c r="F5" s="57">
        <v>0</v>
      </c>
      <c r="G5" s="58">
        <f>F5*D5</f>
        <v>0</v>
      </c>
    </row>
    <row r="6" spans="2:7" ht="19.5" x14ac:dyDescent="0.3">
      <c r="B6" s="46" t="s">
        <v>84</v>
      </c>
      <c r="C6" s="185" t="s">
        <v>108</v>
      </c>
      <c r="D6" s="186"/>
      <c r="E6" s="187"/>
      <c r="F6" s="57">
        <v>0</v>
      </c>
      <c r="G6" s="58">
        <f>F6*D6</f>
        <v>0</v>
      </c>
    </row>
    <row r="7" spans="2:7" x14ac:dyDescent="0.3">
      <c r="B7" s="22" t="s">
        <v>86</v>
      </c>
      <c r="C7" s="45" t="s">
        <v>118</v>
      </c>
      <c r="D7" s="43">
        <v>6</v>
      </c>
      <c r="E7" s="43" t="s">
        <v>75</v>
      </c>
      <c r="F7" s="57">
        <v>0</v>
      </c>
      <c r="G7" s="58">
        <f>F7*D7</f>
        <v>0</v>
      </c>
    </row>
    <row r="8" spans="2:7" x14ac:dyDescent="0.3">
      <c r="B8" s="22" t="s">
        <v>87</v>
      </c>
      <c r="C8" s="45" t="s">
        <v>119</v>
      </c>
      <c r="D8" s="43">
        <v>1</v>
      </c>
      <c r="E8" s="43" t="s">
        <v>75</v>
      </c>
      <c r="F8" s="57">
        <v>0</v>
      </c>
      <c r="G8" s="58">
        <f>F8*D8</f>
        <v>0</v>
      </c>
    </row>
    <row r="9" spans="2:7" x14ac:dyDescent="0.3">
      <c r="B9" s="22" t="s">
        <v>88</v>
      </c>
      <c r="C9" s="45" t="s">
        <v>120</v>
      </c>
      <c r="D9" s="43">
        <v>1</v>
      </c>
      <c r="E9" s="43" t="s">
        <v>75</v>
      </c>
      <c r="F9" s="57">
        <v>0</v>
      </c>
      <c r="G9" s="58">
        <f t="shared" ref="G9:G12" si="0">F9*D9</f>
        <v>0</v>
      </c>
    </row>
    <row r="10" spans="2:7" x14ac:dyDescent="0.3">
      <c r="B10" s="22" t="s">
        <v>85</v>
      </c>
      <c r="C10" s="45" t="s">
        <v>121</v>
      </c>
      <c r="D10" s="43">
        <v>1</v>
      </c>
      <c r="E10" s="43" t="s">
        <v>75</v>
      </c>
      <c r="F10" s="57">
        <v>0</v>
      </c>
      <c r="G10" s="58">
        <f t="shared" si="0"/>
        <v>0</v>
      </c>
    </row>
    <row r="11" spans="2:7" x14ac:dyDescent="0.3">
      <c r="B11" s="22" t="s">
        <v>89</v>
      </c>
      <c r="C11" s="45" t="s">
        <v>122</v>
      </c>
      <c r="D11" s="43">
        <v>1</v>
      </c>
      <c r="E11" s="43" t="s">
        <v>75</v>
      </c>
      <c r="F11" s="57">
        <v>0</v>
      </c>
      <c r="G11" s="58">
        <f t="shared" si="0"/>
        <v>0</v>
      </c>
    </row>
    <row r="12" spans="2:7" x14ac:dyDescent="0.3">
      <c r="B12" s="22" t="s">
        <v>90</v>
      </c>
      <c r="C12" s="45" t="s">
        <v>123</v>
      </c>
      <c r="D12" s="43">
        <v>5</v>
      </c>
      <c r="E12" s="43" t="s">
        <v>75</v>
      </c>
      <c r="F12" s="57">
        <v>0</v>
      </c>
      <c r="G12" s="58">
        <f t="shared" si="0"/>
        <v>0</v>
      </c>
    </row>
    <row r="13" spans="2:7" x14ac:dyDescent="0.3">
      <c r="B13" s="22" t="s">
        <v>91</v>
      </c>
      <c r="C13" s="45" t="s">
        <v>124</v>
      </c>
      <c r="D13" s="43">
        <v>1</v>
      </c>
      <c r="E13" s="43" t="s">
        <v>75</v>
      </c>
      <c r="F13" s="57">
        <v>0</v>
      </c>
      <c r="G13" s="58">
        <f>F13*D13</f>
        <v>0</v>
      </c>
    </row>
    <row r="14" spans="2:7" x14ac:dyDescent="0.3">
      <c r="B14" s="22" t="s">
        <v>92</v>
      </c>
      <c r="C14" s="45" t="s">
        <v>125</v>
      </c>
      <c r="D14" s="43">
        <v>1</v>
      </c>
      <c r="E14" s="43" t="s">
        <v>75</v>
      </c>
      <c r="F14" s="57">
        <v>0</v>
      </c>
      <c r="G14" s="58">
        <f t="shared" ref="G14:G23" si="1">F14*D14</f>
        <v>0</v>
      </c>
    </row>
    <row r="15" spans="2:7" x14ac:dyDescent="0.3">
      <c r="B15" s="22" t="s">
        <v>93</v>
      </c>
      <c r="C15" s="45" t="s">
        <v>126</v>
      </c>
      <c r="D15" s="43">
        <v>1</v>
      </c>
      <c r="E15" s="43" t="s">
        <v>75</v>
      </c>
      <c r="F15" s="57">
        <v>0</v>
      </c>
      <c r="G15" s="58">
        <f t="shared" si="1"/>
        <v>0</v>
      </c>
    </row>
    <row r="16" spans="2:7" x14ac:dyDescent="0.3">
      <c r="B16" s="22" t="s">
        <v>94</v>
      </c>
      <c r="C16" s="45" t="s">
        <v>127</v>
      </c>
      <c r="D16" s="43">
        <v>1</v>
      </c>
      <c r="E16" s="43" t="s">
        <v>75</v>
      </c>
      <c r="F16" s="57">
        <v>0</v>
      </c>
      <c r="G16" s="58">
        <f t="shared" si="1"/>
        <v>0</v>
      </c>
    </row>
    <row r="17" spans="2:7" x14ac:dyDescent="0.3">
      <c r="B17" s="22" t="s">
        <v>95</v>
      </c>
      <c r="C17" s="45" t="s">
        <v>128</v>
      </c>
      <c r="D17" s="43">
        <v>1</v>
      </c>
      <c r="E17" s="43" t="s">
        <v>107</v>
      </c>
      <c r="F17" s="57">
        <v>0</v>
      </c>
      <c r="G17" s="58">
        <f t="shared" si="1"/>
        <v>0</v>
      </c>
    </row>
    <row r="18" spans="2:7" ht="25" x14ac:dyDescent="0.3">
      <c r="B18" s="22" t="s">
        <v>96</v>
      </c>
      <c r="C18" s="45" t="s">
        <v>135</v>
      </c>
      <c r="D18" s="43">
        <v>1</v>
      </c>
      <c r="E18" s="43" t="s">
        <v>75</v>
      </c>
      <c r="F18" s="57">
        <v>0</v>
      </c>
      <c r="G18" s="58">
        <f t="shared" si="1"/>
        <v>0</v>
      </c>
    </row>
    <row r="19" spans="2:7" x14ac:dyDescent="0.3">
      <c r="B19" s="22" t="s">
        <v>97</v>
      </c>
      <c r="C19" s="45" t="s">
        <v>129</v>
      </c>
      <c r="D19" s="43">
        <v>4</v>
      </c>
      <c r="E19" s="43" t="s">
        <v>75</v>
      </c>
      <c r="F19" s="57">
        <v>0</v>
      </c>
      <c r="G19" s="58">
        <f t="shared" si="1"/>
        <v>0</v>
      </c>
    </row>
    <row r="20" spans="2:7" x14ac:dyDescent="0.3">
      <c r="B20" s="22" t="s">
        <v>98</v>
      </c>
      <c r="C20" s="45" t="s">
        <v>130</v>
      </c>
      <c r="D20" s="43">
        <v>1</v>
      </c>
      <c r="E20" s="43" t="s">
        <v>75</v>
      </c>
      <c r="F20" s="57">
        <v>0</v>
      </c>
      <c r="G20" s="58">
        <f t="shared" si="1"/>
        <v>0</v>
      </c>
    </row>
    <row r="21" spans="2:7" x14ac:dyDescent="0.3">
      <c r="B21" s="22" t="s">
        <v>99</v>
      </c>
      <c r="C21" s="45" t="s">
        <v>131</v>
      </c>
      <c r="D21" s="43">
        <v>1</v>
      </c>
      <c r="E21" s="43" t="s">
        <v>107</v>
      </c>
      <c r="F21" s="57">
        <v>0</v>
      </c>
      <c r="G21" s="58">
        <f t="shared" si="1"/>
        <v>0</v>
      </c>
    </row>
    <row r="22" spans="2:7" x14ac:dyDescent="0.3">
      <c r="B22" s="22" t="s">
        <v>100</v>
      </c>
      <c r="C22" s="45" t="s">
        <v>136</v>
      </c>
      <c r="D22" s="43">
        <v>1</v>
      </c>
      <c r="E22" s="43" t="s">
        <v>107</v>
      </c>
      <c r="F22" s="57">
        <v>0</v>
      </c>
      <c r="G22" s="58">
        <f t="shared" si="1"/>
        <v>0</v>
      </c>
    </row>
    <row r="23" spans="2:7" ht="19.5" x14ac:dyDescent="0.3">
      <c r="B23" s="46" t="s">
        <v>102</v>
      </c>
      <c r="C23" s="185" t="s">
        <v>109</v>
      </c>
      <c r="D23" s="186"/>
      <c r="E23" s="187"/>
      <c r="F23" s="57">
        <v>0</v>
      </c>
      <c r="G23" s="58">
        <f t="shared" si="1"/>
        <v>0</v>
      </c>
    </row>
    <row r="24" spans="2:7" x14ac:dyDescent="0.3">
      <c r="B24" s="22" t="s">
        <v>86</v>
      </c>
      <c r="C24" s="45" t="s">
        <v>118</v>
      </c>
      <c r="D24" s="43">
        <v>1</v>
      </c>
      <c r="E24" s="43" t="s">
        <v>75</v>
      </c>
      <c r="F24" s="57">
        <v>0</v>
      </c>
      <c r="G24" s="58">
        <f t="shared" ref="G24:G29" si="2">F24*D24</f>
        <v>0</v>
      </c>
    </row>
    <row r="25" spans="2:7" x14ac:dyDescent="0.3">
      <c r="B25" s="22" t="s">
        <v>87</v>
      </c>
      <c r="C25" s="45" t="s">
        <v>119</v>
      </c>
      <c r="D25" s="43">
        <v>1</v>
      </c>
      <c r="E25" s="43" t="s">
        <v>75</v>
      </c>
      <c r="F25" s="57">
        <v>0</v>
      </c>
      <c r="G25" s="58">
        <f t="shared" si="2"/>
        <v>0</v>
      </c>
    </row>
    <row r="26" spans="2:7" x14ac:dyDescent="0.3">
      <c r="B26" s="22" t="s">
        <v>88</v>
      </c>
      <c r="C26" s="45" t="s">
        <v>120</v>
      </c>
      <c r="D26" s="43">
        <v>1</v>
      </c>
      <c r="E26" s="43" t="s">
        <v>75</v>
      </c>
      <c r="F26" s="57">
        <v>0</v>
      </c>
      <c r="G26" s="58">
        <f t="shared" si="2"/>
        <v>0</v>
      </c>
    </row>
    <row r="27" spans="2:7" x14ac:dyDescent="0.3">
      <c r="B27" s="22" t="s">
        <v>85</v>
      </c>
      <c r="C27" s="45" t="s">
        <v>132</v>
      </c>
      <c r="D27" s="43">
        <v>1</v>
      </c>
      <c r="E27" s="43" t="s">
        <v>75</v>
      </c>
      <c r="F27" s="57">
        <v>0</v>
      </c>
      <c r="G27" s="58">
        <f t="shared" si="2"/>
        <v>0</v>
      </c>
    </row>
    <row r="28" spans="2:7" x14ac:dyDescent="0.3">
      <c r="B28" s="22" t="s">
        <v>89</v>
      </c>
      <c r="C28" s="45" t="s">
        <v>122</v>
      </c>
      <c r="D28" s="43">
        <v>1</v>
      </c>
      <c r="E28" s="43" t="s">
        <v>75</v>
      </c>
      <c r="F28" s="57">
        <v>0</v>
      </c>
      <c r="G28" s="58">
        <f t="shared" si="2"/>
        <v>0</v>
      </c>
    </row>
    <row r="29" spans="2:7" x14ac:dyDescent="0.3">
      <c r="B29" s="22" t="s">
        <v>90</v>
      </c>
      <c r="C29" s="45" t="s">
        <v>123</v>
      </c>
      <c r="D29" s="43">
        <v>1</v>
      </c>
      <c r="E29" s="43" t="s">
        <v>75</v>
      </c>
      <c r="F29" s="57">
        <v>0</v>
      </c>
      <c r="G29" s="58">
        <f t="shared" si="2"/>
        <v>0</v>
      </c>
    </row>
    <row r="30" spans="2:7" x14ac:dyDescent="0.3">
      <c r="B30" s="22" t="s">
        <v>91</v>
      </c>
      <c r="C30" s="45" t="s">
        <v>133</v>
      </c>
      <c r="D30" s="43">
        <v>1</v>
      </c>
      <c r="E30" s="43" t="s">
        <v>75</v>
      </c>
      <c r="F30" s="57">
        <v>0</v>
      </c>
      <c r="G30" s="58">
        <f>F30*D30</f>
        <v>0</v>
      </c>
    </row>
    <row r="31" spans="2:7" x14ac:dyDescent="0.3">
      <c r="B31" s="22" t="s">
        <v>92</v>
      </c>
      <c r="C31" s="45" t="s">
        <v>134</v>
      </c>
      <c r="D31" s="43">
        <v>1</v>
      </c>
      <c r="E31" s="43" t="s">
        <v>75</v>
      </c>
      <c r="F31" s="57">
        <v>0</v>
      </c>
      <c r="G31" s="58">
        <f t="shared" ref="G31:G40" si="3">F31*D31</f>
        <v>0</v>
      </c>
    </row>
    <row r="32" spans="2:7" x14ac:dyDescent="0.3">
      <c r="B32" s="22" t="s">
        <v>93</v>
      </c>
      <c r="C32" s="45" t="s">
        <v>126</v>
      </c>
      <c r="D32" s="43">
        <v>1</v>
      </c>
      <c r="E32" s="43" t="s">
        <v>75</v>
      </c>
      <c r="F32" s="57">
        <v>0</v>
      </c>
      <c r="G32" s="58">
        <f t="shared" si="3"/>
        <v>0</v>
      </c>
    </row>
    <row r="33" spans="2:7" x14ac:dyDescent="0.3">
      <c r="B33" s="22" t="s">
        <v>94</v>
      </c>
      <c r="C33" s="45" t="s">
        <v>127</v>
      </c>
      <c r="D33" s="43">
        <v>1</v>
      </c>
      <c r="E33" s="43" t="s">
        <v>75</v>
      </c>
      <c r="F33" s="57">
        <v>0</v>
      </c>
      <c r="G33" s="58">
        <f t="shared" si="3"/>
        <v>0</v>
      </c>
    </row>
    <row r="34" spans="2:7" x14ac:dyDescent="0.3">
      <c r="B34" s="22" t="s">
        <v>95</v>
      </c>
      <c r="C34" s="45" t="s">
        <v>128</v>
      </c>
      <c r="D34" s="43">
        <v>1</v>
      </c>
      <c r="E34" s="43" t="s">
        <v>107</v>
      </c>
      <c r="F34" s="57">
        <v>0</v>
      </c>
      <c r="G34" s="58">
        <f t="shared" si="3"/>
        <v>0</v>
      </c>
    </row>
    <row r="35" spans="2:7" ht="25" x14ac:dyDescent="0.3">
      <c r="B35" s="22" t="s">
        <v>96</v>
      </c>
      <c r="C35" s="45" t="s">
        <v>137</v>
      </c>
      <c r="D35" s="43">
        <v>1</v>
      </c>
      <c r="E35" s="43" t="s">
        <v>75</v>
      </c>
      <c r="F35" s="57">
        <v>0</v>
      </c>
      <c r="G35" s="58">
        <f t="shared" si="3"/>
        <v>0</v>
      </c>
    </row>
    <row r="36" spans="2:7" x14ac:dyDescent="0.3">
      <c r="B36" s="22" t="s">
        <v>97</v>
      </c>
      <c r="C36" s="45" t="s">
        <v>129</v>
      </c>
      <c r="D36" s="43">
        <v>1</v>
      </c>
      <c r="E36" s="43" t="s">
        <v>75</v>
      </c>
      <c r="F36" s="57">
        <v>0</v>
      </c>
      <c r="G36" s="58">
        <f t="shared" si="3"/>
        <v>0</v>
      </c>
    </row>
    <row r="37" spans="2:7" x14ac:dyDescent="0.3">
      <c r="B37" s="22" t="s">
        <v>98</v>
      </c>
      <c r="C37" s="45" t="s">
        <v>130</v>
      </c>
      <c r="D37" s="43">
        <v>1</v>
      </c>
      <c r="E37" s="43" t="s">
        <v>75</v>
      </c>
      <c r="F37" s="57">
        <v>0</v>
      </c>
      <c r="G37" s="58">
        <f t="shared" si="3"/>
        <v>0</v>
      </c>
    </row>
    <row r="38" spans="2:7" x14ac:dyDescent="0.3">
      <c r="B38" s="22" t="s">
        <v>99</v>
      </c>
      <c r="C38" s="45" t="s">
        <v>131</v>
      </c>
      <c r="D38" s="43">
        <v>1</v>
      </c>
      <c r="E38" s="43" t="s">
        <v>107</v>
      </c>
      <c r="F38" s="57">
        <v>0</v>
      </c>
      <c r="G38" s="58">
        <f t="shared" si="3"/>
        <v>0</v>
      </c>
    </row>
    <row r="39" spans="2:7" x14ac:dyDescent="0.3">
      <c r="B39" s="22" t="s">
        <v>100</v>
      </c>
      <c r="C39" s="45" t="s">
        <v>136</v>
      </c>
      <c r="D39" s="43">
        <v>1</v>
      </c>
      <c r="E39" s="43" t="s">
        <v>107</v>
      </c>
      <c r="F39" s="57">
        <v>0</v>
      </c>
      <c r="G39" s="58">
        <f t="shared" si="3"/>
        <v>0</v>
      </c>
    </row>
    <row r="40" spans="2:7" ht="19.5" x14ac:dyDescent="0.3">
      <c r="B40" s="46" t="s">
        <v>103</v>
      </c>
      <c r="C40" s="185" t="s">
        <v>110</v>
      </c>
      <c r="D40" s="186"/>
      <c r="E40" s="187"/>
      <c r="F40" s="57">
        <v>0</v>
      </c>
      <c r="G40" s="58">
        <f t="shared" si="3"/>
        <v>0</v>
      </c>
    </row>
    <row r="41" spans="2:7" x14ac:dyDescent="0.3">
      <c r="B41" s="22" t="s">
        <v>86</v>
      </c>
      <c r="C41" s="45" t="s">
        <v>118</v>
      </c>
      <c r="D41" s="43">
        <v>1</v>
      </c>
      <c r="E41" s="43" t="s">
        <v>75</v>
      </c>
      <c r="F41" s="57">
        <v>0</v>
      </c>
      <c r="G41" s="58">
        <f t="shared" ref="G41:G46" si="4">F41*D41</f>
        <v>0</v>
      </c>
    </row>
    <row r="42" spans="2:7" x14ac:dyDescent="0.3">
      <c r="B42" s="22" t="s">
        <v>87</v>
      </c>
      <c r="C42" s="45" t="s">
        <v>119</v>
      </c>
      <c r="D42" s="43">
        <v>1</v>
      </c>
      <c r="E42" s="43" t="s">
        <v>75</v>
      </c>
      <c r="F42" s="57">
        <v>0</v>
      </c>
      <c r="G42" s="58">
        <f t="shared" si="4"/>
        <v>0</v>
      </c>
    </row>
    <row r="43" spans="2:7" x14ac:dyDescent="0.3">
      <c r="B43" s="22" t="s">
        <v>88</v>
      </c>
      <c r="C43" s="45" t="s">
        <v>120</v>
      </c>
      <c r="D43" s="43">
        <v>1</v>
      </c>
      <c r="E43" s="43" t="s">
        <v>75</v>
      </c>
      <c r="F43" s="57">
        <v>0</v>
      </c>
      <c r="G43" s="58">
        <f t="shared" si="4"/>
        <v>0</v>
      </c>
    </row>
    <row r="44" spans="2:7" x14ac:dyDescent="0.3">
      <c r="B44" s="22" t="s">
        <v>85</v>
      </c>
      <c r="C44" s="45" t="s">
        <v>132</v>
      </c>
      <c r="D44" s="43">
        <v>1</v>
      </c>
      <c r="E44" s="43" t="s">
        <v>75</v>
      </c>
      <c r="F44" s="57">
        <v>0</v>
      </c>
      <c r="G44" s="58">
        <f t="shared" si="4"/>
        <v>0</v>
      </c>
    </row>
    <row r="45" spans="2:7" x14ac:dyDescent="0.3">
      <c r="B45" s="22" t="s">
        <v>89</v>
      </c>
      <c r="C45" s="45" t="s">
        <v>122</v>
      </c>
      <c r="D45" s="43">
        <v>1</v>
      </c>
      <c r="E45" s="43" t="s">
        <v>75</v>
      </c>
      <c r="F45" s="57">
        <v>0</v>
      </c>
      <c r="G45" s="58">
        <f t="shared" si="4"/>
        <v>0</v>
      </c>
    </row>
    <row r="46" spans="2:7" x14ac:dyDescent="0.3">
      <c r="B46" s="22" t="s">
        <v>90</v>
      </c>
      <c r="C46" s="45" t="s">
        <v>123</v>
      </c>
      <c r="D46" s="43">
        <v>1</v>
      </c>
      <c r="E46" s="43" t="s">
        <v>75</v>
      </c>
      <c r="F46" s="57">
        <v>0</v>
      </c>
      <c r="G46" s="58">
        <f t="shared" si="4"/>
        <v>0</v>
      </c>
    </row>
    <row r="47" spans="2:7" x14ac:dyDescent="0.3">
      <c r="B47" s="22" t="s">
        <v>91</v>
      </c>
      <c r="C47" s="45" t="s">
        <v>133</v>
      </c>
      <c r="D47" s="43">
        <v>1</v>
      </c>
      <c r="E47" s="43" t="s">
        <v>75</v>
      </c>
      <c r="F47" s="57">
        <v>0</v>
      </c>
      <c r="G47" s="58">
        <f>F47*D47</f>
        <v>0</v>
      </c>
    </row>
    <row r="48" spans="2:7" x14ac:dyDescent="0.3">
      <c r="B48" s="22" t="s">
        <v>92</v>
      </c>
      <c r="C48" s="45" t="s">
        <v>134</v>
      </c>
      <c r="D48" s="43">
        <v>1</v>
      </c>
      <c r="E48" s="43" t="s">
        <v>75</v>
      </c>
      <c r="F48" s="57">
        <v>0</v>
      </c>
      <c r="G48" s="58">
        <f t="shared" ref="G48:G57" si="5">F48*D48</f>
        <v>0</v>
      </c>
    </row>
    <row r="49" spans="2:7" x14ac:dyDescent="0.3">
      <c r="B49" s="22" t="s">
        <v>93</v>
      </c>
      <c r="C49" s="45" t="s">
        <v>126</v>
      </c>
      <c r="D49" s="43">
        <v>1</v>
      </c>
      <c r="E49" s="43" t="s">
        <v>75</v>
      </c>
      <c r="F49" s="57">
        <v>0</v>
      </c>
      <c r="G49" s="58">
        <f t="shared" si="5"/>
        <v>0</v>
      </c>
    </row>
    <row r="50" spans="2:7" x14ac:dyDescent="0.3">
      <c r="B50" s="22" t="s">
        <v>94</v>
      </c>
      <c r="C50" s="45" t="s">
        <v>127</v>
      </c>
      <c r="D50" s="43">
        <v>1</v>
      </c>
      <c r="E50" s="43" t="s">
        <v>75</v>
      </c>
      <c r="F50" s="57">
        <v>0</v>
      </c>
      <c r="G50" s="58">
        <f t="shared" si="5"/>
        <v>0</v>
      </c>
    </row>
    <row r="51" spans="2:7" x14ac:dyDescent="0.3">
      <c r="B51" s="22" t="s">
        <v>95</v>
      </c>
      <c r="C51" s="45" t="s">
        <v>128</v>
      </c>
      <c r="D51" s="43">
        <v>1</v>
      </c>
      <c r="E51" s="43" t="s">
        <v>107</v>
      </c>
      <c r="F51" s="57">
        <v>0</v>
      </c>
      <c r="G51" s="58">
        <f t="shared" si="5"/>
        <v>0</v>
      </c>
    </row>
    <row r="52" spans="2:7" ht="25" x14ac:dyDescent="0.3">
      <c r="B52" s="22" t="s">
        <v>96</v>
      </c>
      <c r="C52" s="45" t="s">
        <v>137</v>
      </c>
      <c r="D52" s="43">
        <v>1</v>
      </c>
      <c r="E52" s="43" t="s">
        <v>75</v>
      </c>
      <c r="F52" s="57">
        <v>0</v>
      </c>
      <c r="G52" s="58">
        <f t="shared" si="5"/>
        <v>0</v>
      </c>
    </row>
    <row r="53" spans="2:7" x14ac:dyDescent="0.3">
      <c r="B53" s="22" t="s">
        <v>97</v>
      </c>
      <c r="C53" s="45" t="s">
        <v>129</v>
      </c>
      <c r="D53" s="43">
        <v>1</v>
      </c>
      <c r="E53" s="43" t="s">
        <v>75</v>
      </c>
      <c r="F53" s="57">
        <v>0</v>
      </c>
      <c r="G53" s="58">
        <f t="shared" si="5"/>
        <v>0</v>
      </c>
    </row>
    <row r="54" spans="2:7" x14ac:dyDescent="0.3">
      <c r="B54" s="22" t="s">
        <v>98</v>
      </c>
      <c r="C54" s="45" t="s">
        <v>130</v>
      </c>
      <c r="D54" s="43">
        <v>1</v>
      </c>
      <c r="E54" s="43" t="s">
        <v>75</v>
      </c>
      <c r="F54" s="57">
        <v>0</v>
      </c>
      <c r="G54" s="58">
        <f t="shared" si="5"/>
        <v>0</v>
      </c>
    </row>
    <row r="55" spans="2:7" x14ac:dyDescent="0.3">
      <c r="B55" s="22" t="s">
        <v>99</v>
      </c>
      <c r="C55" s="45" t="s">
        <v>131</v>
      </c>
      <c r="D55" s="43">
        <v>1</v>
      </c>
      <c r="E55" s="43" t="s">
        <v>107</v>
      </c>
      <c r="F55" s="57">
        <v>0</v>
      </c>
      <c r="G55" s="58">
        <f t="shared" si="5"/>
        <v>0</v>
      </c>
    </row>
    <row r="56" spans="2:7" x14ac:dyDescent="0.3">
      <c r="B56" s="22" t="s">
        <v>100</v>
      </c>
      <c r="C56" s="45" t="s">
        <v>136</v>
      </c>
      <c r="D56" s="43">
        <v>1</v>
      </c>
      <c r="E56" s="43" t="s">
        <v>107</v>
      </c>
      <c r="F56" s="57">
        <v>0</v>
      </c>
      <c r="G56" s="58">
        <f t="shared" si="5"/>
        <v>0</v>
      </c>
    </row>
    <row r="57" spans="2:7" ht="19.5" x14ac:dyDescent="0.3">
      <c r="B57" s="46" t="s">
        <v>104</v>
      </c>
      <c r="C57" s="185" t="s">
        <v>111</v>
      </c>
      <c r="D57" s="186"/>
      <c r="E57" s="187"/>
      <c r="F57" s="57">
        <v>0</v>
      </c>
      <c r="G57" s="58">
        <f t="shared" si="5"/>
        <v>0</v>
      </c>
    </row>
    <row r="58" spans="2:7" x14ac:dyDescent="0.3">
      <c r="B58" s="22" t="s">
        <v>86</v>
      </c>
      <c r="C58" s="45" t="s">
        <v>118</v>
      </c>
      <c r="D58" s="43">
        <v>1</v>
      </c>
      <c r="E58" s="43" t="s">
        <v>75</v>
      </c>
      <c r="F58" s="57">
        <v>0</v>
      </c>
      <c r="G58" s="58">
        <f t="shared" ref="G58:G63" si="6">F58*D58</f>
        <v>0</v>
      </c>
    </row>
    <row r="59" spans="2:7" x14ac:dyDescent="0.3">
      <c r="B59" s="22" t="s">
        <v>87</v>
      </c>
      <c r="C59" s="45" t="s">
        <v>119</v>
      </c>
      <c r="D59" s="43">
        <v>1</v>
      </c>
      <c r="E59" s="43" t="s">
        <v>75</v>
      </c>
      <c r="F59" s="57">
        <v>0</v>
      </c>
      <c r="G59" s="58">
        <f t="shared" si="6"/>
        <v>0</v>
      </c>
    </row>
    <row r="60" spans="2:7" x14ac:dyDescent="0.3">
      <c r="B60" s="22" t="s">
        <v>88</v>
      </c>
      <c r="C60" s="45" t="s">
        <v>120</v>
      </c>
      <c r="D60" s="43">
        <v>1</v>
      </c>
      <c r="E60" s="43" t="s">
        <v>75</v>
      </c>
      <c r="F60" s="57">
        <v>0</v>
      </c>
      <c r="G60" s="58">
        <f t="shared" si="6"/>
        <v>0</v>
      </c>
    </row>
    <row r="61" spans="2:7" x14ac:dyDescent="0.3">
      <c r="B61" s="22" t="s">
        <v>85</v>
      </c>
      <c r="C61" s="45" t="s">
        <v>132</v>
      </c>
      <c r="D61" s="43">
        <v>1</v>
      </c>
      <c r="E61" s="43" t="s">
        <v>75</v>
      </c>
      <c r="F61" s="57">
        <v>0</v>
      </c>
      <c r="G61" s="58">
        <f t="shared" si="6"/>
        <v>0</v>
      </c>
    </row>
    <row r="62" spans="2:7" x14ac:dyDescent="0.3">
      <c r="B62" s="22" t="s">
        <v>89</v>
      </c>
      <c r="C62" s="45" t="s">
        <v>122</v>
      </c>
      <c r="D62" s="43">
        <v>1</v>
      </c>
      <c r="E62" s="43" t="s">
        <v>75</v>
      </c>
      <c r="F62" s="57">
        <v>0</v>
      </c>
      <c r="G62" s="58">
        <f t="shared" si="6"/>
        <v>0</v>
      </c>
    </row>
    <row r="63" spans="2:7" x14ac:dyDescent="0.3">
      <c r="B63" s="22" t="s">
        <v>90</v>
      </c>
      <c r="C63" s="45" t="s">
        <v>123</v>
      </c>
      <c r="D63" s="43">
        <v>1</v>
      </c>
      <c r="E63" s="43" t="s">
        <v>75</v>
      </c>
      <c r="F63" s="57">
        <v>0</v>
      </c>
      <c r="G63" s="58">
        <f t="shared" si="6"/>
        <v>0</v>
      </c>
    </row>
    <row r="64" spans="2:7" x14ac:dyDescent="0.3">
      <c r="B64" s="22" t="s">
        <v>91</v>
      </c>
      <c r="C64" s="45" t="s">
        <v>133</v>
      </c>
      <c r="D64" s="43">
        <v>1</v>
      </c>
      <c r="E64" s="43" t="s">
        <v>75</v>
      </c>
      <c r="F64" s="57">
        <v>0</v>
      </c>
      <c r="G64" s="58">
        <f>F64*D64</f>
        <v>0</v>
      </c>
    </row>
    <row r="65" spans="2:7" x14ac:dyDescent="0.3">
      <c r="B65" s="22" t="s">
        <v>92</v>
      </c>
      <c r="C65" s="45" t="s">
        <v>134</v>
      </c>
      <c r="D65" s="43">
        <v>1</v>
      </c>
      <c r="E65" s="43" t="s">
        <v>75</v>
      </c>
      <c r="F65" s="57">
        <v>0</v>
      </c>
      <c r="G65" s="58">
        <f t="shared" ref="G65:G74" si="7">F65*D65</f>
        <v>0</v>
      </c>
    </row>
    <row r="66" spans="2:7" x14ac:dyDescent="0.3">
      <c r="B66" s="22" t="s">
        <v>93</v>
      </c>
      <c r="C66" s="45" t="s">
        <v>126</v>
      </c>
      <c r="D66" s="43">
        <v>1</v>
      </c>
      <c r="E66" s="43" t="s">
        <v>75</v>
      </c>
      <c r="F66" s="57">
        <v>0</v>
      </c>
      <c r="G66" s="58">
        <f t="shared" si="7"/>
        <v>0</v>
      </c>
    </row>
    <row r="67" spans="2:7" x14ac:dyDescent="0.3">
      <c r="B67" s="22" t="s">
        <v>94</v>
      </c>
      <c r="C67" s="45" t="s">
        <v>127</v>
      </c>
      <c r="D67" s="43">
        <v>1</v>
      </c>
      <c r="E67" s="43" t="s">
        <v>75</v>
      </c>
      <c r="F67" s="57">
        <v>0</v>
      </c>
      <c r="G67" s="58">
        <f t="shared" si="7"/>
        <v>0</v>
      </c>
    </row>
    <row r="68" spans="2:7" x14ac:dyDescent="0.3">
      <c r="B68" s="22" t="s">
        <v>95</v>
      </c>
      <c r="C68" s="45" t="s">
        <v>128</v>
      </c>
      <c r="D68" s="43">
        <v>1</v>
      </c>
      <c r="E68" s="43" t="s">
        <v>107</v>
      </c>
      <c r="F68" s="57">
        <v>0</v>
      </c>
      <c r="G68" s="58">
        <f t="shared" si="7"/>
        <v>0</v>
      </c>
    </row>
    <row r="69" spans="2:7" ht="25" x14ac:dyDescent="0.3">
      <c r="B69" s="22" t="s">
        <v>96</v>
      </c>
      <c r="C69" s="45" t="s">
        <v>137</v>
      </c>
      <c r="D69" s="43">
        <v>1</v>
      </c>
      <c r="E69" s="43" t="s">
        <v>75</v>
      </c>
      <c r="F69" s="57">
        <v>0</v>
      </c>
      <c r="G69" s="58">
        <f t="shared" si="7"/>
        <v>0</v>
      </c>
    </row>
    <row r="70" spans="2:7" x14ac:dyDescent="0.3">
      <c r="B70" s="22" t="s">
        <v>97</v>
      </c>
      <c r="C70" s="45" t="s">
        <v>129</v>
      </c>
      <c r="D70" s="43">
        <v>1</v>
      </c>
      <c r="E70" s="43" t="s">
        <v>75</v>
      </c>
      <c r="F70" s="57">
        <v>0</v>
      </c>
      <c r="G70" s="58">
        <f t="shared" si="7"/>
        <v>0</v>
      </c>
    </row>
    <row r="71" spans="2:7" x14ac:dyDescent="0.3">
      <c r="B71" s="22" t="s">
        <v>98</v>
      </c>
      <c r="C71" s="45" t="s">
        <v>130</v>
      </c>
      <c r="D71" s="43">
        <v>1</v>
      </c>
      <c r="E71" s="43" t="s">
        <v>75</v>
      </c>
      <c r="F71" s="57">
        <v>0</v>
      </c>
      <c r="G71" s="58">
        <f t="shared" si="7"/>
        <v>0</v>
      </c>
    </row>
    <row r="72" spans="2:7" x14ac:dyDescent="0.3">
      <c r="B72" s="22" t="s">
        <v>99</v>
      </c>
      <c r="C72" s="45" t="s">
        <v>131</v>
      </c>
      <c r="D72" s="43">
        <v>1</v>
      </c>
      <c r="E72" s="43" t="s">
        <v>107</v>
      </c>
      <c r="F72" s="57">
        <v>0</v>
      </c>
      <c r="G72" s="58">
        <f t="shared" si="7"/>
        <v>0</v>
      </c>
    </row>
    <row r="73" spans="2:7" x14ac:dyDescent="0.3">
      <c r="B73" s="22" t="s">
        <v>100</v>
      </c>
      <c r="C73" s="45" t="s">
        <v>136</v>
      </c>
      <c r="D73" s="43">
        <v>1</v>
      </c>
      <c r="E73" s="43" t="s">
        <v>107</v>
      </c>
      <c r="F73" s="57">
        <v>0</v>
      </c>
      <c r="G73" s="58">
        <f t="shared" si="7"/>
        <v>0</v>
      </c>
    </row>
    <row r="74" spans="2:7" ht="19.5" x14ac:dyDescent="0.3">
      <c r="B74" s="46" t="s">
        <v>105</v>
      </c>
      <c r="C74" s="185" t="s">
        <v>112</v>
      </c>
      <c r="D74" s="186"/>
      <c r="E74" s="187"/>
      <c r="F74" s="57">
        <v>0</v>
      </c>
      <c r="G74" s="58">
        <f t="shared" si="7"/>
        <v>0</v>
      </c>
    </row>
    <row r="75" spans="2:7" x14ac:dyDescent="0.3">
      <c r="B75" s="22" t="s">
        <v>86</v>
      </c>
      <c r="C75" s="45" t="s">
        <v>118</v>
      </c>
      <c r="D75" s="43">
        <v>1</v>
      </c>
      <c r="E75" s="43" t="s">
        <v>75</v>
      </c>
      <c r="F75" s="57">
        <v>0</v>
      </c>
      <c r="G75" s="58">
        <f t="shared" ref="G75:G81" si="8">F75*D75</f>
        <v>0</v>
      </c>
    </row>
    <row r="76" spans="2:7" x14ac:dyDescent="0.3">
      <c r="B76" s="22" t="s">
        <v>87</v>
      </c>
      <c r="C76" s="45" t="s">
        <v>119</v>
      </c>
      <c r="D76" s="43">
        <v>1</v>
      </c>
      <c r="E76" s="43" t="s">
        <v>75</v>
      </c>
      <c r="F76" s="57">
        <v>0</v>
      </c>
      <c r="G76" s="58">
        <f t="shared" si="8"/>
        <v>0</v>
      </c>
    </row>
    <row r="77" spans="2:7" x14ac:dyDescent="0.3">
      <c r="B77" s="22" t="s">
        <v>88</v>
      </c>
      <c r="C77" s="45" t="s">
        <v>120</v>
      </c>
      <c r="D77" s="43">
        <v>1</v>
      </c>
      <c r="E77" s="43" t="s">
        <v>75</v>
      </c>
      <c r="F77" s="57">
        <v>0</v>
      </c>
      <c r="G77" s="58">
        <f t="shared" si="8"/>
        <v>0</v>
      </c>
    </row>
    <row r="78" spans="2:7" x14ac:dyDescent="0.3">
      <c r="B78" s="22" t="s">
        <v>85</v>
      </c>
      <c r="C78" s="45" t="s">
        <v>132</v>
      </c>
      <c r="D78" s="43">
        <v>1</v>
      </c>
      <c r="E78" s="43" t="s">
        <v>75</v>
      </c>
      <c r="F78" s="57">
        <v>0</v>
      </c>
      <c r="G78" s="58">
        <f t="shared" si="8"/>
        <v>0</v>
      </c>
    </row>
    <row r="79" spans="2:7" x14ac:dyDescent="0.3">
      <c r="B79" s="22" t="s">
        <v>89</v>
      </c>
      <c r="C79" s="45" t="s">
        <v>128</v>
      </c>
      <c r="D79" s="43">
        <v>1</v>
      </c>
      <c r="E79" s="43" t="s">
        <v>75</v>
      </c>
      <c r="F79" s="57">
        <v>0</v>
      </c>
      <c r="G79" s="58">
        <f t="shared" si="8"/>
        <v>0</v>
      </c>
    </row>
    <row r="80" spans="2:7" x14ac:dyDescent="0.3">
      <c r="B80" s="22" t="s">
        <v>90</v>
      </c>
      <c r="C80" s="45" t="s">
        <v>136</v>
      </c>
      <c r="D80" s="43">
        <v>1</v>
      </c>
      <c r="E80" s="43" t="s">
        <v>75</v>
      </c>
      <c r="F80" s="57">
        <v>0</v>
      </c>
      <c r="G80" s="58">
        <f t="shared" si="8"/>
        <v>0</v>
      </c>
    </row>
    <row r="81" spans="2:7" ht="19.5" x14ac:dyDescent="0.3">
      <c r="B81" s="46" t="s">
        <v>106</v>
      </c>
      <c r="C81" s="185" t="s">
        <v>113</v>
      </c>
      <c r="D81" s="186"/>
      <c r="E81" s="187"/>
      <c r="F81" s="57">
        <v>0</v>
      </c>
      <c r="G81" s="58">
        <f t="shared" si="8"/>
        <v>0</v>
      </c>
    </row>
    <row r="82" spans="2:7" x14ac:dyDescent="0.3">
      <c r="B82" s="22" t="s">
        <v>86</v>
      </c>
      <c r="C82" s="45" t="s">
        <v>118</v>
      </c>
      <c r="D82" s="43">
        <v>1</v>
      </c>
      <c r="E82" s="43" t="s">
        <v>75</v>
      </c>
      <c r="F82" s="57">
        <v>0</v>
      </c>
      <c r="G82" s="58">
        <f t="shared" ref="G82:G87" si="9">F82*D82</f>
        <v>0</v>
      </c>
    </row>
    <row r="83" spans="2:7" x14ac:dyDescent="0.3">
      <c r="B83" s="22" t="s">
        <v>87</v>
      </c>
      <c r="C83" s="45" t="s">
        <v>119</v>
      </c>
      <c r="D83" s="43">
        <v>1</v>
      </c>
      <c r="E83" s="43" t="s">
        <v>75</v>
      </c>
      <c r="F83" s="57">
        <v>0</v>
      </c>
      <c r="G83" s="58">
        <f t="shared" si="9"/>
        <v>0</v>
      </c>
    </row>
    <row r="84" spans="2:7" x14ac:dyDescent="0.3">
      <c r="B84" s="22" t="s">
        <v>88</v>
      </c>
      <c r="C84" s="45" t="s">
        <v>120</v>
      </c>
      <c r="D84" s="43">
        <v>1</v>
      </c>
      <c r="E84" s="43" t="s">
        <v>75</v>
      </c>
      <c r="F84" s="57">
        <v>0</v>
      </c>
      <c r="G84" s="58">
        <f t="shared" si="9"/>
        <v>0</v>
      </c>
    </row>
    <row r="85" spans="2:7" x14ac:dyDescent="0.3">
      <c r="B85" s="22" t="s">
        <v>85</v>
      </c>
      <c r="C85" s="45" t="s">
        <v>132</v>
      </c>
      <c r="D85" s="43">
        <v>1</v>
      </c>
      <c r="E85" s="43" t="s">
        <v>75</v>
      </c>
      <c r="F85" s="57">
        <v>0</v>
      </c>
      <c r="G85" s="58">
        <f t="shared" si="9"/>
        <v>0</v>
      </c>
    </row>
    <row r="86" spans="2:7" x14ac:dyDescent="0.3">
      <c r="B86" s="22" t="s">
        <v>89</v>
      </c>
      <c r="C86" s="45" t="s">
        <v>128</v>
      </c>
      <c r="D86" s="43">
        <v>1</v>
      </c>
      <c r="E86" s="43" t="s">
        <v>75</v>
      </c>
      <c r="F86" s="57">
        <v>0</v>
      </c>
      <c r="G86" s="58">
        <f t="shared" si="9"/>
        <v>0</v>
      </c>
    </row>
    <row r="87" spans="2:7" ht="13.5" thickBot="1" x14ac:dyDescent="0.35">
      <c r="B87" s="61" t="s">
        <v>90</v>
      </c>
      <c r="C87" s="62" t="s">
        <v>136</v>
      </c>
      <c r="D87" s="63">
        <v>1</v>
      </c>
      <c r="E87" s="63" t="s">
        <v>75</v>
      </c>
      <c r="F87" s="59">
        <v>0</v>
      </c>
      <c r="G87" s="60">
        <f t="shared" si="9"/>
        <v>0</v>
      </c>
    </row>
  </sheetData>
  <mergeCells count="7">
    <mergeCell ref="C81:E81"/>
    <mergeCell ref="C3:E3"/>
    <mergeCell ref="C6:E6"/>
    <mergeCell ref="C23:E23"/>
    <mergeCell ref="C40:E40"/>
    <mergeCell ref="C57:E57"/>
    <mergeCell ref="C74:E74"/>
  </mergeCells>
  <pageMargins left="0.7" right="0.7" top="0.75" bottom="0.75" header="0.3" footer="0.3"/>
  <pageSetup orientation="portrait" r:id="rId1"/>
</worksheet>
</file>

<file path=docMetadata/LabelInfo.xml><?xml version="1.0" encoding="utf-8"?>
<clbl:labelList xmlns:clbl="http://schemas.microsoft.com/office/2020/mipLabelMetadata">
  <clbl:label id="{a59b6cd5-d141-4a33-8bf1-0ca04484304f}"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MTQ-AA00737-FSS</vt:lpstr>
      <vt:lpstr>Sheet1</vt:lpstr>
      <vt:lpstr>'MTQ-AA00737-FSS'!Print_Area</vt:lpstr>
      <vt:lpstr>'MTQ-AA00737-FSS'!Print_Titles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21002D_FF_QUOTATION_SIENENS_KKI GRID_500KV AREA_LOCAL_r8.xls</dc:title>
  <dc:creator>suhail.ehtisham</dc:creator>
  <cp:lastModifiedBy>SURFACE</cp:lastModifiedBy>
  <cp:lastPrinted>2026-01-06T09:39:13Z</cp:lastPrinted>
  <dcterms:created xsi:type="dcterms:W3CDTF">2021-12-06T11:41:35Z</dcterms:created>
  <dcterms:modified xsi:type="dcterms:W3CDTF">2026-01-23T08:03:58Z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59b6cd5-d141-4a33-8bf1-0ca04484304f_Enabled">
    <vt:lpwstr>true</vt:lpwstr>
  </property>
  <property fmtid="{D5CDD505-2E9C-101B-9397-08002B2CF9AE}" pid="3" name="MSIP_Label_a59b6cd5-d141-4a33-8bf1-0ca04484304f_SetDate">
    <vt:lpwstr>2021-12-06T12:19:38Z</vt:lpwstr>
  </property>
  <property fmtid="{D5CDD505-2E9C-101B-9397-08002B2CF9AE}" pid="4" name="MSIP_Label_a59b6cd5-d141-4a33-8bf1-0ca04484304f_Method">
    <vt:lpwstr>Standard</vt:lpwstr>
  </property>
  <property fmtid="{D5CDD505-2E9C-101B-9397-08002B2CF9AE}" pid="5" name="MSIP_Label_a59b6cd5-d141-4a33-8bf1-0ca04484304f_Name">
    <vt:lpwstr>restricted-default</vt:lpwstr>
  </property>
  <property fmtid="{D5CDD505-2E9C-101B-9397-08002B2CF9AE}" pid="6" name="MSIP_Label_a59b6cd5-d141-4a33-8bf1-0ca04484304f_SiteId">
    <vt:lpwstr>38ae3bcd-9579-4fd4-adda-b42e1495d55a</vt:lpwstr>
  </property>
  <property fmtid="{D5CDD505-2E9C-101B-9397-08002B2CF9AE}" pid="7" name="MSIP_Label_a59b6cd5-d141-4a33-8bf1-0ca04484304f_ActionId">
    <vt:lpwstr>0ec4733a-4248-46df-a578-9755497a77f2</vt:lpwstr>
  </property>
  <property fmtid="{D5CDD505-2E9C-101B-9397-08002B2CF9AE}" pid="8" name="MSIP_Label_a59b6cd5-d141-4a33-8bf1-0ca04484304f_ContentBits">
    <vt:lpwstr>0</vt:lpwstr>
  </property>
  <property fmtid="{D5CDD505-2E9C-101B-9397-08002B2CF9AE}" pid="9" name="Document_Confidentiality">
    <vt:lpwstr>Restricted</vt:lpwstr>
  </property>
</Properties>
</file>