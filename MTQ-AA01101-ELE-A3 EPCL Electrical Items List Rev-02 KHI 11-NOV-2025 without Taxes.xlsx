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E:\EMH -- 22-04-2024\BOQs\BOQs__PAK__KHI\EPCL__BOQs__PAK__KHI\MTQ-AA01101-ELE\"/>
    </mc:Choice>
  </mc:AlternateContent>
  <xr:revisionPtr revIDLastSave="0" documentId="13_ncr:1_{F445A693-0A1C-48D4-A5E2-9212A2BF277F}" xr6:coauthVersionLast="47" xr6:coauthVersionMax="47" xr10:uidLastSave="{00000000-0000-0000-0000-000000000000}"/>
  <bookViews>
    <workbookView xWindow="-104" yWindow="-104" windowWidth="22326" windowHeight="11947" xr2:uid="{00000000-000D-0000-FFFF-FFFF00000000}"/>
  </bookViews>
  <sheets>
    <sheet name="MTQ-AA01101-ELE-A3" sheetId="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xlnm._FilterDatabase" localSheetId="0" hidden="1">'MTQ-AA01101-ELE-A3'!$A$8:$H$91</definedName>
    <definedName name="_xlnm.Print_Area" localSheetId="0">'MTQ-AA01101-ELE-A3'!$A$1:$H$300</definedName>
    <definedName name="_xlnm.Print_Titles" localSheetId="0">'MTQ-AA01101-ELE-A3'!$8:$8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32" i="2" l="1"/>
  <c r="F232" i="2"/>
  <c r="E232" i="2"/>
  <c r="G250" i="2"/>
  <c r="F250" i="2"/>
  <c r="E250" i="2"/>
  <c r="G222" i="2"/>
  <c r="F222" i="2"/>
  <c r="E222" i="2"/>
  <c r="H202" i="2"/>
  <c r="F189" i="2"/>
  <c r="E189" i="2"/>
  <c r="E188" i="2"/>
  <c r="G165" i="2"/>
  <c r="E165" i="2"/>
  <c r="F165" i="2"/>
  <c r="E147" i="2"/>
  <c r="G147" i="2"/>
  <c r="F147" i="2"/>
  <c r="F88" i="2"/>
  <c r="E88" i="2"/>
  <c r="F51" i="2"/>
  <c r="F34" i="2"/>
  <c r="G249" i="2"/>
  <c r="F249" i="2"/>
  <c r="E249" i="2"/>
  <c r="G248" i="2"/>
  <c r="F248" i="2"/>
  <c r="E248" i="2"/>
  <c r="G247" i="2"/>
  <c r="F247" i="2"/>
  <c r="E247" i="2"/>
  <c r="G246" i="2"/>
  <c r="F246" i="2"/>
  <c r="E246" i="2"/>
  <c r="G245" i="2"/>
  <c r="F245" i="2"/>
  <c r="E245" i="2"/>
  <c r="G244" i="2"/>
  <c r="F244" i="2"/>
  <c r="E244" i="2"/>
  <c r="G243" i="2"/>
  <c r="F243" i="2"/>
  <c r="E243" i="2"/>
  <c r="G242" i="2"/>
  <c r="F242" i="2"/>
  <c r="E242" i="2"/>
  <c r="G241" i="2"/>
  <c r="F241" i="2"/>
  <c r="E241" i="2"/>
  <c r="G240" i="2"/>
  <c r="F240" i="2"/>
  <c r="E240" i="2"/>
  <c r="G239" i="2"/>
  <c r="F239" i="2"/>
  <c r="E239" i="2"/>
  <c r="G238" i="2"/>
  <c r="F238" i="2"/>
  <c r="E238" i="2"/>
  <c r="G231" i="2"/>
  <c r="F231" i="2"/>
  <c r="E231" i="2"/>
  <c r="G230" i="2"/>
  <c r="F230" i="2"/>
  <c r="E230" i="2"/>
  <c r="G229" i="2"/>
  <c r="F229" i="2"/>
  <c r="E229" i="2"/>
  <c r="G228" i="2"/>
  <c r="F228" i="2"/>
  <c r="E228" i="2"/>
  <c r="G221" i="2"/>
  <c r="F221" i="2"/>
  <c r="E221" i="2"/>
  <c r="G220" i="2"/>
  <c r="F220" i="2"/>
  <c r="E220" i="2"/>
  <c r="G219" i="2"/>
  <c r="F219" i="2"/>
  <c r="E219" i="2"/>
  <c r="G218" i="2"/>
  <c r="F218" i="2"/>
  <c r="E218" i="2"/>
  <c r="G217" i="2"/>
  <c r="F217" i="2"/>
  <c r="E217" i="2"/>
  <c r="G216" i="2"/>
  <c r="F216" i="2"/>
  <c r="E216" i="2"/>
  <c r="G215" i="2"/>
  <c r="F215" i="2"/>
  <c r="E215" i="2"/>
  <c r="G214" i="2"/>
  <c r="F214" i="2"/>
  <c r="E214" i="2"/>
  <c r="G213" i="2"/>
  <c r="F213" i="2"/>
  <c r="E213" i="2"/>
  <c r="G212" i="2"/>
  <c r="F212" i="2"/>
  <c r="E212" i="2"/>
  <c r="G211" i="2"/>
  <c r="F211" i="2"/>
  <c r="E211" i="2"/>
  <c r="G210" i="2"/>
  <c r="F210" i="2"/>
  <c r="E210" i="2"/>
  <c r="G209" i="2"/>
  <c r="F209" i="2"/>
  <c r="E209" i="2"/>
  <c r="G208" i="2"/>
  <c r="F208" i="2"/>
  <c r="E208" i="2"/>
  <c r="H201" i="2"/>
  <c r="G201" i="2"/>
  <c r="F201" i="2"/>
  <c r="E201" i="2"/>
  <c r="H200" i="2"/>
  <c r="G200" i="2"/>
  <c r="F200" i="2"/>
  <c r="E200" i="2"/>
  <c r="H199" i="2"/>
  <c r="G199" i="2"/>
  <c r="F199" i="2"/>
  <c r="E199" i="2"/>
  <c r="H198" i="2"/>
  <c r="G198" i="2"/>
  <c r="F198" i="2"/>
  <c r="E198" i="2"/>
  <c r="H197" i="2"/>
  <c r="G197" i="2"/>
  <c r="G202" i="2" s="1"/>
  <c r="F197" i="2"/>
  <c r="E197" i="2"/>
  <c r="H196" i="2"/>
  <c r="G196" i="2"/>
  <c r="F196" i="2"/>
  <c r="E196" i="2"/>
  <c r="H195" i="2"/>
  <c r="G195" i="2"/>
  <c r="F195" i="2"/>
  <c r="E195" i="2"/>
  <c r="G188" i="2"/>
  <c r="F188" i="2"/>
  <c r="G187" i="2"/>
  <c r="F187" i="2"/>
  <c r="E187" i="2"/>
  <c r="G180" i="2"/>
  <c r="F180" i="2"/>
  <c r="E180" i="2"/>
  <c r="G179" i="2"/>
  <c r="F179" i="2"/>
  <c r="E179" i="2"/>
  <c r="G178" i="2"/>
  <c r="F178" i="2"/>
  <c r="E178" i="2"/>
  <c r="G177" i="2"/>
  <c r="F177" i="2"/>
  <c r="E177" i="2"/>
  <c r="G176" i="2"/>
  <c r="F176" i="2"/>
  <c r="E176" i="2"/>
  <c r="G175" i="2"/>
  <c r="F175" i="2"/>
  <c r="E175" i="2"/>
  <c r="G174" i="2"/>
  <c r="F174" i="2"/>
  <c r="E174" i="2"/>
  <c r="G173" i="2"/>
  <c r="F173" i="2"/>
  <c r="E173" i="2"/>
  <c r="G172" i="2"/>
  <c r="F172" i="2"/>
  <c r="E172" i="2"/>
  <c r="G171" i="2"/>
  <c r="F171" i="2"/>
  <c r="E171" i="2"/>
  <c r="G164" i="2"/>
  <c r="F164" i="2"/>
  <c r="E164" i="2"/>
  <c r="G163" i="2"/>
  <c r="F163" i="2"/>
  <c r="E163" i="2"/>
  <c r="G162" i="2"/>
  <c r="F162" i="2"/>
  <c r="E162" i="2"/>
  <c r="G161" i="2"/>
  <c r="F161" i="2"/>
  <c r="E161" i="2"/>
  <c r="G160" i="2"/>
  <c r="F160" i="2"/>
  <c r="E160" i="2"/>
  <c r="G159" i="2"/>
  <c r="F159" i="2"/>
  <c r="E159" i="2"/>
  <c r="G158" i="2"/>
  <c r="F158" i="2"/>
  <c r="E158" i="2"/>
  <c r="G157" i="2"/>
  <c r="F157" i="2"/>
  <c r="E157" i="2"/>
  <c r="G156" i="2"/>
  <c r="F156" i="2"/>
  <c r="E156" i="2"/>
  <c r="G155" i="2"/>
  <c r="F155" i="2"/>
  <c r="E155" i="2"/>
  <c r="G154" i="2"/>
  <c r="F154" i="2"/>
  <c r="E154" i="2"/>
  <c r="G153" i="2"/>
  <c r="F153" i="2"/>
  <c r="E153" i="2"/>
  <c r="G146" i="2"/>
  <c r="F146" i="2"/>
  <c r="E146" i="2"/>
  <c r="G145" i="2"/>
  <c r="F145" i="2"/>
  <c r="E145" i="2"/>
  <c r="G144" i="2"/>
  <c r="F144" i="2"/>
  <c r="E144" i="2"/>
  <c r="G143" i="2"/>
  <c r="F143" i="2"/>
  <c r="E143" i="2"/>
  <c r="G142" i="2"/>
  <c r="F142" i="2"/>
  <c r="E142" i="2"/>
  <c r="G141" i="2"/>
  <c r="F141" i="2"/>
  <c r="E141" i="2"/>
  <c r="G140" i="2"/>
  <c r="F140" i="2"/>
  <c r="E140" i="2"/>
  <c r="G139" i="2"/>
  <c r="F139" i="2"/>
  <c r="E139" i="2"/>
  <c r="G138" i="2"/>
  <c r="F138" i="2"/>
  <c r="E138" i="2"/>
  <c r="G137" i="2"/>
  <c r="F137" i="2"/>
  <c r="E137" i="2"/>
  <c r="G130" i="2"/>
  <c r="F130" i="2"/>
  <c r="E130" i="2"/>
  <c r="G129" i="2"/>
  <c r="F129" i="2"/>
  <c r="E129" i="2"/>
  <c r="G128" i="2"/>
  <c r="F128" i="2"/>
  <c r="E128" i="2"/>
  <c r="G127" i="2"/>
  <c r="F127" i="2"/>
  <c r="E127" i="2"/>
  <c r="G126" i="2"/>
  <c r="F126" i="2"/>
  <c r="E126" i="2"/>
  <c r="G125" i="2"/>
  <c r="F125" i="2"/>
  <c r="E125" i="2"/>
  <c r="G124" i="2"/>
  <c r="F124" i="2"/>
  <c r="E124" i="2"/>
  <c r="G123" i="2"/>
  <c r="F123" i="2"/>
  <c r="E123" i="2"/>
  <c r="G122" i="2"/>
  <c r="F122" i="2"/>
  <c r="E122" i="2"/>
  <c r="G121" i="2"/>
  <c r="F121" i="2"/>
  <c r="E121" i="2"/>
  <c r="G120" i="2"/>
  <c r="F120" i="2"/>
  <c r="E120" i="2"/>
  <c r="G119" i="2"/>
  <c r="F119" i="2"/>
  <c r="E119" i="2"/>
  <c r="G118" i="2"/>
  <c r="F118" i="2"/>
  <c r="E118" i="2"/>
  <c r="G117" i="2"/>
  <c r="F117" i="2"/>
  <c r="E117" i="2"/>
  <c r="G116" i="2"/>
  <c r="F116" i="2"/>
  <c r="E116" i="2"/>
  <c r="G115" i="2"/>
  <c r="F115" i="2"/>
  <c r="E115" i="2"/>
  <c r="G114" i="2"/>
  <c r="F114" i="2"/>
  <c r="E114" i="2"/>
  <c r="G113" i="2"/>
  <c r="F113" i="2"/>
  <c r="E113" i="2"/>
  <c r="G112" i="2"/>
  <c r="F112" i="2"/>
  <c r="E112" i="2"/>
  <c r="G111" i="2"/>
  <c r="F111" i="2"/>
  <c r="E111" i="2"/>
  <c r="G110" i="2"/>
  <c r="F110" i="2"/>
  <c r="E110" i="2"/>
  <c r="G109" i="2"/>
  <c r="F109" i="2"/>
  <c r="E109" i="2"/>
  <c r="G108" i="2"/>
  <c r="F108" i="2"/>
  <c r="E108" i="2"/>
  <c r="G107" i="2"/>
  <c r="F107" i="2"/>
  <c r="E107" i="2"/>
  <c r="G106" i="2"/>
  <c r="F106" i="2"/>
  <c r="E106" i="2"/>
  <c r="G105" i="2"/>
  <c r="F105" i="2"/>
  <c r="E105" i="2"/>
  <c r="G104" i="2"/>
  <c r="F104" i="2"/>
  <c r="E104" i="2"/>
  <c r="G103" i="2"/>
  <c r="F103" i="2"/>
  <c r="E103" i="2"/>
  <c r="G102" i="2"/>
  <c r="F102" i="2"/>
  <c r="E102" i="2"/>
  <c r="G101" i="2"/>
  <c r="F101" i="2"/>
  <c r="E101" i="2"/>
  <c r="G100" i="2"/>
  <c r="F100" i="2"/>
  <c r="E100" i="2"/>
  <c r="G99" i="2"/>
  <c r="F99" i="2"/>
  <c r="E99" i="2"/>
  <c r="G98" i="2"/>
  <c r="F98" i="2"/>
  <c r="E98" i="2"/>
  <c r="G97" i="2"/>
  <c r="F97" i="2"/>
  <c r="E97" i="2"/>
  <c r="G96" i="2"/>
  <c r="F96" i="2"/>
  <c r="E96" i="2"/>
  <c r="G95" i="2"/>
  <c r="F95" i="2"/>
  <c r="E95" i="2"/>
  <c r="G94" i="2"/>
  <c r="F94" i="2"/>
  <c r="E94" i="2"/>
  <c r="G87" i="2"/>
  <c r="F87" i="2"/>
  <c r="E87" i="2"/>
  <c r="G86" i="2"/>
  <c r="F86" i="2"/>
  <c r="E86" i="2"/>
  <c r="G84" i="2"/>
  <c r="F84" i="2"/>
  <c r="E84" i="2"/>
  <c r="G83" i="2"/>
  <c r="F83" i="2"/>
  <c r="E83" i="2"/>
  <c r="G82" i="2"/>
  <c r="F82" i="2"/>
  <c r="E82" i="2"/>
  <c r="G81" i="2"/>
  <c r="F81" i="2"/>
  <c r="E81" i="2"/>
  <c r="G80" i="2"/>
  <c r="F80" i="2"/>
  <c r="E80" i="2"/>
  <c r="G79" i="2"/>
  <c r="F79" i="2"/>
  <c r="E79" i="2"/>
  <c r="G77" i="2"/>
  <c r="F77" i="2"/>
  <c r="E77" i="2"/>
  <c r="G76" i="2"/>
  <c r="F76" i="2"/>
  <c r="E76" i="2"/>
  <c r="G75" i="2"/>
  <c r="F75" i="2"/>
  <c r="E75" i="2"/>
  <c r="G73" i="2"/>
  <c r="F73" i="2"/>
  <c r="E73" i="2"/>
  <c r="G71" i="2"/>
  <c r="F71" i="2"/>
  <c r="E71" i="2"/>
  <c r="G70" i="2"/>
  <c r="F70" i="2"/>
  <c r="E70" i="2"/>
  <c r="G69" i="2"/>
  <c r="F69" i="2"/>
  <c r="E69" i="2"/>
  <c r="G68" i="2"/>
  <c r="F68" i="2"/>
  <c r="E68" i="2"/>
  <c r="G67" i="2"/>
  <c r="F67" i="2"/>
  <c r="E67" i="2"/>
  <c r="G66" i="2"/>
  <c r="F66" i="2"/>
  <c r="E66" i="2"/>
  <c r="G65" i="2"/>
  <c r="F65" i="2"/>
  <c r="E65" i="2"/>
  <c r="G64" i="2"/>
  <c r="F64" i="2"/>
  <c r="E64" i="2"/>
  <c r="G63" i="2"/>
  <c r="F63" i="2"/>
  <c r="E63" i="2"/>
  <c r="G62" i="2"/>
  <c r="F62" i="2"/>
  <c r="E62" i="2"/>
  <c r="G61" i="2"/>
  <c r="F61" i="2"/>
  <c r="E61" i="2"/>
  <c r="G60" i="2"/>
  <c r="F60" i="2"/>
  <c r="E60" i="2"/>
  <c r="G59" i="2"/>
  <c r="F59" i="2"/>
  <c r="E59" i="2"/>
  <c r="G58" i="2"/>
  <c r="F58" i="2"/>
  <c r="E58" i="2"/>
  <c r="G50" i="2"/>
  <c r="F50" i="2"/>
  <c r="E50" i="2"/>
  <c r="G49" i="2"/>
  <c r="F49" i="2"/>
  <c r="E49" i="2"/>
  <c r="G48" i="2"/>
  <c r="F48" i="2"/>
  <c r="E48" i="2"/>
  <c r="G47" i="2"/>
  <c r="F47" i="2"/>
  <c r="E47" i="2"/>
  <c r="G46" i="2"/>
  <c r="F46" i="2"/>
  <c r="E46" i="2"/>
  <c r="G45" i="2"/>
  <c r="F45" i="2"/>
  <c r="E45" i="2"/>
  <c r="G44" i="2"/>
  <c r="F44" i="2"/>
  <c r="E44" i="2"/>
  <c r="G43" i="2"/>
  <c r="F43" i="2"/>
  <c r="E43" i="2"/>
  <c r="G42" i="2"/>
  <c r="F42" i="2"/>
  <c r="E42" i="2"/>
  <c r="G41" i="2"/>
  <c r="F41" i="2"/>
  <c r="E41" i="2"/>
  <c r="G33" i="2"/>
  <c r="F33" i="2"/>
  <c r="E33" i="2"/>
  <c r="G32" i="2"/>
  <c r="F32" i="2"/>
  <c r="E32" i="2"/>
  <c r="G31" i="2"/>
  <c r="F31" i="2"/>
  <c r="E31" i="2"/>
  <c r="G30" i="2"/>
  <c r="F30" i="2"/>
  <c r="E30" i="2"/>
  <c r="G29" i="2"/>
  <c r="F29" i="2"/>
  <c r="E29" i="2"/>
  <c r="G28" i="2"/>
  <c r="F28" i="2"/>
  <c r="E28" i="2"/>
  <c r="G27" i="2"/>
  <c r="F27" i="2"/>
  <c r="E27" i="2"/>
  <c r="G26" i="2"/>
  <c r="F26" i="2"/>
  <c r="E26" i="2"/>
  <c r="G25" i="2"/>
  <c r="F25" i="2"/>
  <c r="E25" i="2"/>
  <c r="G24" i="2"/>
  <c r="F24" i="2"/>
  <c r="E24" i="2"/>
  <c r="G23" i="2"/>
  <c r="F23" i="2"/>
  <c r="E23" i="2"/>
  <c r="G22" i="2"/>
  <c r="F22" i="2"/>
  <c r="E22" i="2"/>
  <c r="G21" i="2"/>
  <c r="F21" i="2"/>
  <c r="E21" i="2"/>
  <c r="G20" i="2"/>
  <c r="F20" i="2"/>
  <c r="E20" i="2"/>
  <c r="G19" i="2"/>
  <c r="F19" i="2"/>
  <c r="E19" i="2"/>
  <c r="G18" i="2"/>
  <c r="F18" i="2"/>
  <c r="E18" i="2"/>
  <c r="G17" i="2"/>
  <c r="F17" i="2"/>
  <c r="E17" i="2"/>
  <c r="G16" i="2"/>
  <c r="F16" i="2"/>
  <c r="E16" i="2"/>
  <c r="G15" i="2"/>
  <c r="F15" i="2"/>
  <c r="E15" i="2"/>
  <c r="G14" i="2"/>
  <c r="F14" i="2"/>
  <c r="E14" i="2"/>
  <c r="G13" i="2"/>
  <c r="F13" i="2"/>
  <c r="E13" i="2"/>
  <c r="G12" i="2"/>
  <c r="F12" i="2"/>
  <c r="E12" i="2"/>
  <c r="G11" i="2"/>
  <c r="F11" i="2"/>
  <c r="E11" i="2"/>
  <c r="F202" i="2"/>
  <c r="E202" i="2"/>
  <c r="E34" i="2"/>
  <c r="A259" i="2"/>
  <c r="H250" i="2"/>
  <c r="H251" i="2" s="1"/>
  <c r="H252" i="2" s="1"/>
  <c r="H253" i="2" l="1"/>
  <c r="G233" i="2"/>
  <c r="G234" i="2" s="1"/>
  <c r="E233" i="2" l="1"/>
  <c r="E234" i="2" s="1"/>
  <c r="E235" i="2" s="1"/>
  <c r="E236" i="2" s="1"/>
  <c r="H254" i="2"/>
  <c r="H255" i="2" s="1"/>
  <c r="G235" i="2"/>
  <c r="G236" i="2" s="1"/>
  <c r="H222" i="2" l="1"/>
  <c r="H223" i="2" l="1"/>
  <c r="H224" i="2" s="1"/>
  <c r="H225" i="2" l="1"/>
  <c r="H226" i="2" s="1"/>
  <c r="G223" i="2"/>
  <c r="G224" i="2" s="1"/>
  <c r="G225" i="2" s="1"/>
  <c r="F166" i="2" l="1"/>
  <c r="F167" i="2" s="1"/>
  <c r="E166" i="2"/>
  <c r="E167" i="2" s="1"/>
  <c r="H147" i="2" l="1"/>
  <c r="H148" i="2" s="1"/>
  <c r="H149" i="2" s="1"/>
  <c r="H150" i="2" l="1"/>
  <c r="H151" i="2" s="1"/>
  <c r="E168" i="2" l="1"/>
  <c r="H165" i="2"/>
  <c r="G148" i="2" l="1"/>
  <c r="G149" i="2" s="1"/>
  <c r="G150" i="2" s="1"/>
  <c r="G151" i="2" s="1"/>
  <c r="F168" i="2"/>
  <c r="F169" i="2" s="1"/>
  <c r="F148" i="2" l="1"/>
  <c r="F149" i="2" s="1"/>
  <c r="F150" i="2" s="1"/>
  <c r="F151" i="2" s="1"/>
  <c r="E148" i="2" l="1"/>
  <c r="E149" i="2" s="1"/>
  <c r="E150" i="2" s="1"/>
  <c r="E151" i="2" s="1"/>
  <c r="F131" i="2"/>
  <c r="F132" i="2" s="1"/>
  <c r="F133" i="2" s="1"/>
  <c r="F134" i="2" s="1"/>
  <c r="F135" i="2" s="1"/>
  <c r="E131" i="2"/>
  <c r="E132" i="2" s="1"/>
  <c r="E133" i="2" s="1"/>
  <c r="G131" i="2"/>
  <c r="G132" i="2" s="1"/>
  <c r="G133" i="2" s="1"/>
  <c r="G88" i="2" l="1"/>
  <c r="G89" i="2" s="1"/>
  <c r="G134" i="2"/>
  <c r="G135" i="2" s="1"/>
  <c r="E134" i="2"/>
  <c r="E135" i="2" s="1"/>
  <c r="F89" i="2"/>
  <c r="F90" i="2" s="1"/>
  <c r="F91" i="2" s="1"/>
  <c r="G51" i="2" l="1"/>
  <c r="F52" i="2" l="1"/>
  <c r="F53" i="2" s="1"/>
  <c r="F54" i="2" s="1"/>
  <c r="F55" i="2" s="1"/>
  <c r="G52" i="2"/>
  <c r="G53" i="2" s="1"/>
  <c r="G54" i="2" s="1"/>
  <c r="G55" i="2" l="1"/>
  <c r="F251" i="2" l="1"/>
  <c r="F252" i="2" s="1"/>
  <c r="G251" i="2"/>
  <c r="G252" i="2" s="1"/>
  <c r="E223" i="2"/>
  <c r="E224" i="2" s="1"/>
  <c r="F233" i="2" l="1"/>
  <c r="F234" i="2" s="1"/>
  <c r="F235" i="2" s="1"/>
  <c r="F236" i="2" s="1"/>
  <c r="F253" i="2"/>
  <c r="F223" i="2"/>
  <c r="F224" i="2" s="1"/>
  <c r="F225" i="2" s="1"/>
  <c r="F226" i="2" s="1"/>
  <c r="G253" i="2"/>
  <c r="G226" i="2"/>
  <c r="E225" i="2"/>
  <c r="E226" i="2" s="1"/>
  <c r="G254" i="2" l="1"/>
  <c r="G255" i="2" s="1"/>
  <c r="F254" i="2"/>
  <c r="F255" i="2" s="1"/>
  <c r="H232" i="2"/>
  <c r="H233" i="2" s="1"/>
  <c r="H234" i="2" s="1"/>
  <c r="E251" i="2" l="1"/>
  <c r="E252" i="2" s="1"/>
  <c r="H235" i="2"/>
  <c r="H236" i="2" s="1"/>
  <c r="E253" i="2" l="1"/>
  <c r="E190" i="2"/>
  <c r="E191" i="2" s="1"/>
  <c r="G189" i="2" l="1"/>
  <c r="G190" i="2" s="1"/>
  <c r="G191" i="2" s="1"/>
  <c r="G192" i="2" s="1"/>
  <c r="G193" i="2" s="1"/>
  <c r="E254" i="2"/>
  <c r="E255" i="2" s="1"/>
  <c r="F190" i="2"/>
  <c r="F191" i="2" s="1"/>
  <c r="E192" i="2"/>
  <c r="E193" i="2" s="1"/>
  <c r="F192" i="2" l="1"/>
  <c r="F193" i="2" s="1"/>
  <c r="H203" i="2"/>
  <c r="H204" i="2" s="1"/>
  <c r="H181" i="2"/>
  <c r="H182" i="2" s="1"/>
  <c r="H183" i="2" s="1"/>
  <c r="H184" i="2" s="1"/>
  <c r="H185" i="2" s="1"/>
  <c r="H189" i="2"/>
  <c r="H190" i="2" s="1"/>
  <c r="H191" i="2" s="1"/>
  <c r="G203" i="2"/>
  <c r="G204" i="2" s="1"/>
  <c r="G205" i="2" s="1"/>
  <c r="H205" i="2" l="1"/>
  <c r="H206" i="2" s="1"/>
  <c r="H192" i="2"/>
  <c r="H193" i="2" s="1"/>
  <c r="E203" i="2" l="1"/>
  <c r="E204" i="2" s="1"/>
  <c r="E205" i="2" s="1"/>
  <c r="F203" i="2" l="1"/>
  <c r="F204" i="2" s="1"/>
  <c r="F205" i="2" s="1"/>
  <c r="F206" i="2" s="1"/>
  <c r="F181" i="2" l="1"/>
  <c r="F182" i="2" s="1"/>
  <c r="F183" i="2" s="1"/>
  <c r="E181" i="2"/>
  <c r="E182" i="2" s="1"/>
  <c r="E183" i="2" s="1"/>
  <c r="G181" i="2"/>
  <c r="G182" i="2" s="1"/>
  <c r="G183" i="2" s="1"/>
  <c r="E206" i="2"/>
  <c r="G206" i="2"/>
  <c r="G184" i="2" l="1"/>
  <c r="G185" i="2" s="1"/>
  <c r="E184" i="2"/>
  <c r="E185" i="2" s="1"/>
  <c r="F184" i="2"/>
  <c r="F185" i="2" s="1"/>
  <c r="G90" i="2"/>
  <c r="G91" i="2" s="1"/>
  <c r="E89" i="2" l="1"/>
  <c r="E90" i="2" s="1"/>
  <c r="E51" i="2"/>
  <c r="E52" i="2" l="1"/>
  <c r="E53" i="2" s="1"/>
  <c r="E54" i="2" s="1"/>
  <c r="E55" i="2" s="1"/>
  <c r="G166" i="2"/>
  <c r="G167" i="2" s="1"/>
  <c r="G168" i="2" l="1"/>
  <c r="G169" i="2" s="1"/>
  <c r="F35" i="2"/>
  <c r="F36" i="2" s="1"/>
  <c r="E35" i="2"/>
  <c r="E36" i="2" s="1"/>
  <c r="E169" i="2" l="1"/>
  <c r="E37" i="2"/>
  <c r="E38" i="2" s="1"/>
  <c r="F37" i="2"/>
  <c r="F38" i="2" s="1"/>
  <c r="G92" i="2"/>
  <c r="E91" i="2"/>
  <c r="E92" i="2" s="1"/>
  <c r="F92" i="2"/>
  <c r="G34" i="2" l="1"/>
  <c r="G35" i="2" s="1"/>
  <c r="G36" i="2" s="1"/>
  <c r="G37" i="2" l="1"/>
  <c r="G38" i="2" s="1"/>
  <c r="A274" i="2"/>
  <c r="A266" i="2" l="1"/>
  <c r="A264" i="2" l="1"/>
  <c r="A263" i="2"/>
  <c r="A262" i="2"/>
  <c r="A281" i="2" l="1"/>
  <c r="A261" i="2" l="1"/>
  <c r="A280" i="2" l="1"/>
  <c r="A260" i="2"/>
  <c r="A279" i="2" l="1"/>
  <c r="A275" i="2" l="1"/>
  <c r="A258" i="2"/>
  <c r="A288" i="2" l="1"/>
  <c r="A289" i="2"/>
  <c r="A287" i="2"/>
  <c r="A285" i="2"/>
  <c r="A272" i="2"/>
  <c r="A271" i="2"/>
  <c r="A270" i="2"/>
  <c r="A269" i="2"/>
  <c r="A268" i="2"/>
  <c r="A284" i="2"/>
  <c r="A278" i="2"/>
  <c r="A283" i="2"/>
</calcChain>
</file>

<file path=xl/sharedStrings.xml><?xml version="1.0" encoding="utf-8"?>
<sst xmlns="http://schemas.openxmlformats.org/spreadsheetml/2006/main" count="662" uniqueCount="460">
  <si>
    <t>To,</t>
  </si>
  <si>
    <t>S.NO</t>
  </si>
  <si>
    <t>DESCRIPTION</t>
  </si>
  <si>
    <t>QTY</t>
  </si>
  <si>
    <t>UNIT</t>
  </si>
  <si>
    <t>Approved by:</t>
  </si>
  <si>
    <t>Prepared by:</t>
  </si>
  <si>
    <t>Mr. Munawar Hasan</t>
  </si>
  <si>
    <t>Engr. Muhammad Huzefa</t>
  </si>
  <si>
    <t>Director Sales &amp; Projects</t>
  </si>
  <si>
    <t>Estimation &amp; Design Engineer</t>
  </si>
  <si>
    <t>+92-300-9233273</t>
  </si>
  <si>
    <t>+92-306-7666644</t>
  </si>
  <si>
    <t>munawar.hasan@mytecheng.com</t>
  </si>
  <si>
    <t>m.huzefa@mytecheng.com</t>
  </si>
  <si>
    <t>Terms and Conditions</t>
  </si>
  <si>
    <t>Payment &amp; Taxes Terms:</t>
  </si>
  <si>
    <t>Delivery Terms:</t>
  </si>
  <si>
    <t>Warranty Terms:</t>
  </si>
  <si>
    <t>Validity Terms:</t>
  </si>
  <si>
    <t>Transportation/Accommodation/Food/Power for Work Terms:</t>
  </si>
  <si>
    <t>General Terms:</t>
  </si>
  <si>
    <t>PO Terms:</t>
  </si>
  <si>
    <t xml:space="preserve">Address: </t>
  </si>
  <si>
    <t>House # B-278, Basement Floor, Block-1/A, Gulistan-e-Jauhar, Karachi, Pakistan.</t>
  </si>
  <si>
    <t>Each</t>
  </si>
  <si>
    <t>A</t>
  </si>
  <si>
    <t>A.1</t>
  </si>
  <si>
    <t>A.2</t>
  </si>
  <si>
    <t>TOTAL 
AMOUNT</t>
  </si>
  <si>
    <t>B</t>
  </si>
  <si>
    <t>C</t>
  </si>
  <si>
    <t xml:space="preserve">GST @ 18% = </t>
  </si>
  <si>
    <t xml:space="preserve">After GST = </t>
  </si>
  <si>
    <t>A.3</t>
  </si>
  <si>
    <t>A.4</t>
  </si>
  <si>
    <t>A.5</t>
  </si>
  <si>
    <t>A.7</t>
  </si>
  <si>
    <t>A.8</t>
  </si>
  <si>
    <t>A.9</t>
  </si>
  <si>
    <t>A.6</t>
  </si>
  <si>
    <t>A.10</t>
  </si>
  <si>
    <t>A.11</t>
  </si>
  <si>
    <t>A.12</t>
  </si>
  <si>
    <t>A.13</t>
  </si>
  <si>
    <t>A.14</t>
  </si>
  <si>
    <t>A.15</t>
  </si>
  <si>
    <t>A.16</t>
  </si>
  <si>
    <t>A.17</t>
  </si>
  <si>
    <t>A.18</t>
  </si>
  <si>
    <t>A.19</t>
  </si>
  <si>
    <t>A.20</t>
  </si>
  <si>
    <t>A.21</t>
  </si>
  <si>
    <t>A.22</t>
  </si>
  <si>
    <t>A.23</t>
  </si>
  <si>
    <t>Power, Control, Fire &amp; Telecommunication cable</t>
  </si>
  <si>
    <t>PVC, GI, MS material with accessories</t>
  </si>
  <si>
    <t>Mtr</t>
  </si>
  <si>
    <t>Feet</t>
  </si>
  <si>
    <t>Fast</t>
  </si>
  <si>
    <t>Indus</t>
  </si>
  <si>
    <t>Paksitan</t>
  </si>
  <si>
    <t>Pak Arab</t>
  </si>
  <si>
    <t>Jeddah</t>
  </si>
  <si>
    <t>China</t>
  </si>
  <si>
    <t xml:space="preserve">Adamjee </t>
  </si>
  <si>
    <t>European</t>
  </si>
  <si>
    <t>Karachi, Pakistan.</t>
  </si>
  <si>
    <t>EPCL,</t>
  </si>
  <si>
    <t>Supply-1
Unit Rate</t>
  </si>
  <si>
    <t>Supply-2
Unit Rate</t>
  </si>
  <si>
    <t>Supply-3
Unit Rate</t>
  </si>
  <si>
    <t>S/C x 6mm2 CU/PVC Grad 0.6kV (7/0.044)</t>
  </si>
  <si>
    <t>1/C x 16mm2 CU/PVC Grad 0.6kV</t>
  </si>
  <si>
    <t>S/C x 25mm2 CU/PVC Grad 0.6kV</t>
  </si>
  <si>
    <t>S/C x 50mm2 CU/PVC Grad 0.6kV</t>
  </si>
  <si>
    <t>S/C x 70mm2 CU/PVC Grad 0.6kV</t>
  </si>
  <si>
    <t>3/C x 1.5mm2 CU/PVC/PVC Grad 0.6~1kV stranded</t>
  </si>
  <si>
    <t>3/C x 2.5mm2 CU/PVC/PVC Grad 0.6~1kV stranded</t>
  </si>
  <si>
    <t>3/C x 4mm2 CU/PVC/PVC Grad 0.6~1kV stranded</t>
  </si>
  <si>
    <t>3/C x 6mm2 CU/PVC/PVC Grad 0.6~1kV stranded</t>
  </si>
  <si>
    <t>4/C x 2.5mm2 CU/PVC/PVC Grad 0.6~1kV stranded</t>
  </si>
  <si>
    <t>4/C x 4mm2 CU/PVC/PVC Grad 0.6~1kV stranded</t>
  </si>
  <si>
    <t>4/C x 6mm2 CU/PVC/PVC Grad 0.6~1kV stranded</t>
  </si>
  <si>
    <t>4/C x 10mm2 CU/PVC/PVC Grad 0.6~1kV stranded</t>
  </si>
  <si>
    <t>4/C x 16mm2 CU/PVC/PVC Grad 0.6~1kV stranded</t>
  </si>
  <si>
    <t>5/C x 16mm2 CU/PVC/PVC Grad 0.6~1kV stranded</t>
  </si>
  <si>
    <t>5/C x 25mm2 CU/PVC/PVC Grad 0.6~1kV stranded</t>
  </si>
  <si>
    <t>5/C x 4mm2 CU/PVC/PVC Grad 0.6~1kV stranded</t>
  </si>
  <si>
    <t>5/C x 6mm2 CU/PVC/PVC Grad 0.6~1kV stranded</t>
  </si>
  <si>
    <t>5/C x 10mm2 CU/PVC/PVC Grad 0.6~1kV stranded</t>
  </si>
  <si>
    <t>3/C x 1 mm2 CU/PVC/PVC Grad 0.6~1kV flexible</t>
  </si>
  <si>
    <t>3/C x 1.5mm2 CU/PVC/PVC Grad 0.6~1kV flexible</t>
  </si>
  <si>
    <t>4/C x 2.5mm2 CU/PVC/PVC Grad 0.6~1kV flexible</t>
  </si>
  <si>
    <t>QUOTATION FOR Electrical Items List Rev-02, FOR ENGRO PORT QASIM PLANT, KARACHI, PAKISTAN.
(Supply ONLY)</t>
  </si>
  <si>
    <r>
      <t xml:space="preserve">Date : </t>
    </r>
    <r>
      <rPr>
        <b/>
        <sz val="18"/>
        <color theme="1"/>
        <rFont val="Century Gothic"/>
        <family val="2"/>
      </rPr>
      <t>22-OCT-2025</t>
    </r>
  </si>
  <si>
    <t>D</t>
  </si>
  <si>
    <t>Supply Item: Conduit / Accessories</t>
  </si>
  <si>
    <t>Supply Item: Indoor/Outdoor/Emergency Lights</t>
  </si>
  <si>
    <t>Switches &amp; Sockets</t>
  </si>
  <si>
    <t>E</t>
  </si>
  <si>
    <t>F</t>
  </si>
  <si>
    <t>Fans</t>
  </si>
  <si>
    <t>G</t>
  </si>
  <si>
    <t>Power Recepticles</t>
  </si>
  <si>
    <t>H</t>
  </si>
  <si>
    <t>Fire Alarm System</t>
  </si>
  <si>
    <t>I</t>
  </si>
  <si>
    <t>Rechargeable Batteries</t>
  </si>
  <si>
    <t>J</t>
  </si>
  <si>
    <t>Panel &amp; Other Accessories</t>
  </si>
  <si>
    <t>K</t>
  </si>
  <si>
    <t>Calssified area items</t>
  </si>
  <si>
    <t>L</t>
  </si>
  <si>
    <t>Grounding works</t>
  </si>
  <si>
    <t>Exhaust fan  8" Metallic body with copper winding</t>
  </si>
  <si>
    <t>Exhaust fan  12" Metallic body with copper winding</t>
  </si>
  <si>
    <t>Exhaust fan  18" Metallic body with copper winding</t>
  </si>
  <si>
    <t>Exhaust fan  26" Metallic body with copper winding</t>
  </si>
  <si>
    <t>Exhaust fan  8" PVC body with copper winding</t>
  </si>
  <si>
    <t>Exhaust fan  10" PVC body with copper winding</t>
  </si>
  <si>
    <t>Exhaust fan  12" PVC body with copper winding</t>
  </si>
  <si>
    <t>Bracket fan upto 18" (MS industrial type)</t>
  </si>
  <si>
    <t>Bracket fan upto 24"  (MS industrial type)</t>
  </si>
  <si>
    <t>Bracket fan upto 18" (PVC body)</t>
  </si>
  <si>
    <t>Bracket fan upto 24" (PVC body)</t>
  </si>
  <si>
    <t>Pedestrial fan MS body</t>
  </si>
  <si>
    <t>Royal</t>
  </si>
  <si>
    <t>Pak</t>
  </si>
  <si>
    <t xml:space="preserve">WHT @ 5% = </t>
  </si>
  <si>
    <r>
      <t xml:space="preserve">Total Per Unit Rate Without Tax for </t>
    </r>
    <r>
      <rPr>
        <b/>
        <i/>
        <sz val="18"/>
        <rFont val="Century Gothic"/>
        <family val="2"/>
      </rPr>
      <t>(F)</t>
    </r>
    <r>
      <rPr>
        <b/>
        <i/>
        <sz val="14"/>
        <rFont val="Century Gothic"/>
        <family val="2"/>
      </rPr>
      <t>Paybale for Each Brand=</t>
    </r>
  </si>
  <si>
    <r>
      <t xml:space="preserve">Total Per Unit Rate With Tax for </t>
    </r>
    <r>
      <rPr>
        <b/>
        <i/>
        <sz val="18"/>
        <rFont val="Century Gothic"/>
        <family val="2"/>
      </rPr>
      <t>(F)</t>
    </r>
    <r>
      <rPr>
        <b/>
        <i/>
        <sz val="14"/>
        <rFont val="Century Gothic"/>
        <family val="2"/>
      </rPr>
      <t>Paybale for Each Brand=</t>
    </r>
  </si>
  <si>
    <r>
      <t xml:space="preserve">Total Per Unit Rate Without Tax for </t>
    </r>
    <r>
      <rPr>
        <b/>
        <i/>
        <sz val="18"/>
        <rFont val="Century Gothic"/>
        <family val="2"/>
      </rPr>
      <t>(A)</t>
    </r>
    <r>
      <rPr>
        <b/>
        <i/>
        <sz val="14"/>
        <rFont val="Century Gothic"/>
        <family val="2"/>
      </rPr>
      <t>Paybale for Each Brand=</t>
    </r>
  </si>
  <si>
    <r>
      <t xml:space="preserve">Total Per Unit Rate With Tax for </t>
    </r>
    <r>
      <rPr>
        <b/>
        <i/>
        <sz val="18"/>
        <rFont val="Century Gothic"/>
        <family val="2"/>
      </rPr>
      <t>(A)</t>
    </r>
    <r>
      <rPr>
        <b/>
        <i/>
        <sz val="14"/>
        <rFont val="Century Gothic"/>
        <family val="2"/>
      </rPr>
      <t>Paybale for Each Brand=</t>
    </r>
  </si>
  <si>
    <t>Conduit UPVC size 3/4” including accessories</t>
  </si>
  <si>
    <t>Conduit UPVC size 1” including accessories</t>
  </si>
  <si>
    <t>Conduit UPVC size 1-1/4” including accessories</t>
  </si>
  <si>
    <t>Conduit UPVC size 1-1/2” including accessories</t>
  </si>
  <si>
    <t>Conduit UPVC size 2” including accessories</t>
  </si>
  <si>
    <t>Jubilee Clamp 3/4" ~ 2"</t>
  </si>
  <si>
    <t>Flexible PVC pipe 3/4"</t>
  </si>
  <si>
    <t>Flexible PVC pipe 1"</t>
  </si>
  <si>
    <t>GI Flexible PVC coated 3/4"</t>
  </si>
  <si>
    <t>GI Flexible PVC coated 1"</t>
  </si>
  <si>
    <r>
      <t xml:space="preserve">Total Per Unit Rate Without Tax for </t>
    </r>
    <r>
      <rPr>
        <b/>
        <i/>
        <sz val="18"/>
        <rFont val="Century Gothic"/>
        <family val="2"/>
      </rPr>
      <t>(B)</t>
    </r>
    <r>
      <rPr>
        <b/>
        <i/>
        <sz val="14"/>
        <rFont val="Century Gothic"/>
        <family val="2"/>
      </rPr>
      <t>Paybale for Each Brand=</t>
    </r>
  </si>
  <si>
    <r>
      <t xml:space="preserve">Total Per Unit Rate With Tax for </t>
    </r>
    <r>
      <rPr>
        <b/>
        <i/>
        <sz val="18"/>
        <rFont val="Century Gothic"/>
        <family val="2"/>
      </rPr>
      <t>(B)</t>
    </r>
    <r>
      <rPr>
        <b/>
        <i/>
        <sz val="14"/>
        <rFont val="Century Gothic"/>
        <family val="2"/>
      </rPr>
      <t>Paybale for Each Brand=</t>
    </r>
  </si>
  <si>
    <t>PVC Dura Duct 1" square x 6 feet length</t>
  </si>
  <si>
    <t>PVC Dura Duct 2" square x 6 feet length</t>
  </si>
  <si>
    <t>PVC Dura Duct 3" square x 6 feet length</t>
  </si>
  <si>
    <t>PVC box size 100x100x80mm surface mount, IP-44</t>
  </si>
  <si>
    <t>PVC box size 150x100x80mm surface mount, IP-44</t>
  </si>
  <si>
    <t>PVC box size 150x150x100mm surface mount, IP-55</t>
  </si>
  <si>
    <t>PVC box size 250x250x150mm surface mount, IP-55</t>
  </si>
  <si>
    <t>PVC box surface mount for AC of 2P MCB, IP-44</t>
  </si>
  <si>
    <t>DIN Rail</t>
  </si>
  <si>
    <t>PVC Connector Strip 10/15Amps</t>
  </si>
  <si>
    <t>PVC Connector Strip 30Amps</t>
  </si>
  <si>
    <t>PVC Gland upto PG-29</t>
  </si>
  <si>
    <t>0.5 to 2.5mm size I/O/U type lugs (100 piece)</t>
  </si>
  <si>
    <t>2.5 to 6mm size I/O/U type lugs (100 piece)</t>
  </si>
  <si>
    <t>RTV tube</t>
  </si>
  <si>
    <t>Anchor Bolt upto M10x80</t>
  </si>
  <si>
    <t>Rawal Bolt upto M10x80</t>
  </si>
  <si>
    <t>GI Nut bolt with washer (8mm to 12mm)</t>
  </si>
  <si>
    <t>GI Cable tray Perforated/Ladder 100x50mm with cover &amp; plates</t>
  </si>
  <si>
    <t>GI Cable tray Perforated/Ladder 200x100mm with cover &amp; plates</t>
  </si>
  <si>
    <t>GI Cable tray Perforated/Ladder 300x100mm with cover &amp; plates</t>
  </si>
  <si>
    <t>MS Box (1200x750x250mm), 18 Guage  with lockable door</t>
  </si>
  <si>
    <t>MS Box (900x600x250mm), 18 Guage with lockable door</t>
  </si>
  <si>
    <t>MS Box (600x450x250mm), 18Gauge with lockable door</t>
  </si>
  <si>
    <t>Fiber Distribution Box (600x500x300) with lockable door</t>
  </si>
  <si>
    <t>Fiber Distribution Box (300x200x200) with lockable door</t>
  </si>
  <si>
    <r>
      <t xml:space="preserve">Total Per Unit Rate Without Tax for </t>
    </r>
    <r>
      <rPr>
        <b/>
        <i/>
        <sz val="18"/>
        <rFont val="Century Gothic"/>
        <family val="2"/>
      </rPr>
      <t>(C)</t>
    </r>
    <r>
      <rPr>
        <b/>
        <i/>
        <sz val="14"/>
        <rFont val="Century Gothic"/>
        <family val="2"/>
      </rPr>
      <t>Paybale for Each Brand=</t>
    </r>
  </si>
  <si>
    <r>
      <t xml:space="preserve">Total Per Unit Rate With Tax for </t>
    </r>
    <r>
      <rPr>
        <b/>
        <i/>
        <sz val="18"/>
        <rFont val="Century Gothic"/>
        <family val="2"/>
      </rPr>
      <t>(C)</t>
    </r>
    <r>
      <rPr>
        <b/>
        <i/>
        <sz val="14"/>
        <rFont val="Century Gothic"/>
        <family val="2"/>
      </rPr>
      <t>Paybale for Each Brand=</t>
    </r>
  </si>
  <si>
    <t>LED Bulb 220V, 3.5Watt E27, Coolday light</t>
  </si>
  <si>
    <t>LED Bulb 220V, 7/12/18Watt E27, Coolday light</t>
  </si>
  <si>
    <t>LED Bulb 220V, 30Watt E27, Coolday light</t>
  </si>
  <si>
    <t>LED Bulb 220V, 50/65Watt E40, Coolday light</t>
  </si>
  <si>
    <t>Halogen Bulb 24VAC for handlamps</t>
  </si>
  <si>
    <t>Flood light 24VDC for Vessel area (100W) Normal</t>
  </si>
  <si>
    <t>Tube rod LED 18W 4feet</t>
  </si>
  <si>
    <t>Tube rod LED 9W 2feet</t>
  </si>
  <si>
    <t>Ballast 220V, 18 / 36 W</t>
  </si>
  <si>
    <t>Surface mount E27 holder base dia 3~6''</t>
  </si>
  <si>
    <t>Flush mount/Surface type spot with single/multicolor</t>
  </si>
  <si>
    <t>LED office area light 3" (5 watt) - surface/Conceiled</t>
  </si>
  <si>
    <t>LED office area light 6" (15 watt) - surface/Conceiled</t>
  </si>
  <si>
    <t>LED office area light 8" (18 watt) - surface/Conceiled</t>
  </si>
  <si>
    <t>LED office area light 12" (24 watt) - surface/Conceiled</t>
  </si>
  <si>
    <t>LED office area light 2' x 2' (40 watt) - Conceiled</t>
  </si>
  <si>
    <t>LED office area light 1' x 4' (40 watt) - Conceiled</t>
  </si>
  <si>
    <t>LED light square 6"x 6" surface/conceiled</t>
  </si>
  <si>
    <t>LED light square 12"x 12" surface/conceiled</t>
  </si>
  <si>
    <t xml:space="preserve">LED Tubelight with fixture 18/20W - Single </t>
  </si>
  <si>
    <t>LED Tubelight with fixture 26/40W - Double</t>
  </si>
  <si>
    <t>Weather Proof TubeLight with fixture 36W</t>
  </si>
  <si>
    <t>High Bay Lights LED (100 W) - Color 6000K, IP-65</t>
  </si>
  <si>
    <t>High Bay Lights LED (150 W) - Color 6000K, IP-65</t>
  </si>
  <si>
    <t>Flood Lights LED (100 W) - Color 6500K IP65</t>
  </si>
  <si>
    <t>Flood Lights LED (150 W) - Color 6500K IP65</t>
  </si>
  <si>
    <t>Flood Lights LED (200 W) - Color 6500K IP65</t>
  </si>
  <si>
    <t>Focus light wall mounted (LED type)/RGB light for Garden IP65</t>
  </si>
  <si>
    <t>Street light 100W, 6000k, LED type IP65</t>
  </si>
  <si>
    <t>Arena light LED type IP65</t>
  </si>
  <si>
    <t>Handlamp with Mechanical cage IP65</t>
  </si>
  <si>
    <t>Emergency LED Bar/Round type interior Light (3 watt)</t>
  </si>
  <si>
    <t>Exit light (6W, IP-65) with Direction label</t>
  </si>
  <si>
    <t>Sun Switch - Panasonic EE 8020-821 (Japan)</t>
  </si>
  <si>
    <t>LED Panel light 2x2</t>
  </si>
  <si>
    <t>LED Panel Light 2x4</t>
  </si>
  <si>
    <t>LED Panel Light 1x4</t>
  </si>
  <si>
    <t>Length</t>
  </si>
  <si>
    <t>Strap</t>
  </si>
  <si>
    <t>Pack</t>
  </si>
  <si>
    <r>
      <t xml:space="preserve">Total Per Unit Rate Without Tax for </t>
    </r>
    <r>
      <rPr>
        <b/>
        <i/>
        <sz val="18"/>
        <rFont val="Century Gothic"/>
        <family val="2"/>
      </rPr>
      <t>(D)</t>
    </r>
    <r>
      <rPr>
        <b/>
        <i/>
        <sz val="14"/>
        <rFont val="Century Gothic"/>
        <family val="2"/>
      </rPr>
      <t>Paybale for Each Brand=</t>
    </r>
  </si>
  <si>
    <r>
      <t xml:space="preserve">Total Per Unit Rate With Tax for </t>
    </r>
    <r>
      <rPr>
        <b/>
        <i/>
        <sz val="18"/>
        <rFont val="Century Gothic"/>
        <family val="2"/>
      </rPr>
      <t>(D)</t>
    </r>
    <r>
      <rPr>
        <b/>
        <i/>
        <sz val="14"/>
        <rFont val="Century Gothic"/>
        <family val="2"/>
      </rPr>
      <t>Paybale for Each Brand=</t>
    </r>
  </si>
  <si>
    <t>Lighting switch with one gang plate</t>
  </si>
  <si>
    <t>Lighting switch with two gang plate</t>
  </si>
  <si>
    <t>Lighting switch with three gang plate</t>
  </si>
  <si>
    <t>Lighting switch with four gang plate</t>
  </si>
  <si>
    <t>Lighting switch with five gang plate</t>
  </si>
  <si>
    <t>Switch socket Universal, Round/flat pin</t>
  </si>
  <si>
    <t>Shoe, 220VAC, Current 10 A, Pins 3</t>
  </si>
  <si>
    <t>Shoe, 220 Vac, Current 13 A, Pins 3, Pin Flat, With Fuse, Model EP13</t>
  </si>
  <si>
    <t>Shoe, 220VAC, 3pin round 6/10 Amp Unbreakable</t>
  </si>
  <si>
    <t>Shoe, 220VAC, Current 15 A, Pins 3, Pin Round, Model EP15</t>
  </si>
  <si>
    <t>3 pin 16A / 32A, 220VAC, IP-44 (Male)</t>
  </si>
  <si>
    <t>3 pin 16A / 32A, 220VAC, IP-44 (Female)</t>
  </si>
  <si>
    <t>3 pin 16A / 32A, 220VAC, IP-67 (Male)</t>
  </si>
  <si>
    <t>3 pin 16A / 32A, 220VAC, IP-67 (Female)....wall mounted</t>
  </si>
  <si>
    <t>5 pin 16A / 32A, 400VAC, IP-44 (Male)</t>
  </si>
  <si>
    <t>5 pin 16A / 32A, 400VAC, IP-44 (Female)</t>
  </si>
  <si>
    <t>5 pin 16A / 32A, 400VAC,, IP-67 (Male)</t>
  </si>
  <si>
    <t>5 pin 16A / 32A, 400VAC,IP-67 (Female)....wall mounted</t>
  </si>
  <si>
    <t>3 pin 16A, 220VAC, IP-44 (1 in 3 out)</t>
  </si>
  <si>
    <t>5 pin 32A, 220VAC, IP-44 (1 in 3 out)</t>
  </si>
  <si>
    <r>
      <t xml:space="preserve">Total Per Unit Rate Without Tax for </t>
    </r>
    <r>
      <rPr>
        <b/>
        <i/>
        <sz val="18"/>
        <rFont val="Century Gothic"/>
        <family val="2"/>
      </rPr>
      <t>(G)</t>
    </r>
    <r>
      <rPr>
        <b/>
        <i/>
        <sz val="14"/>
        <rFont val="Century Gothic"/>
        <family val="2"/>
      </rPr>
      <t>Paybale for Each Brand=</t>
    </r>
  </si>
  <si>
    <r>
      <t xml:space="preserve">Total Per Unit Rate With Tax for </t>
    </r>
    <r>
      <rPr>
        <b/>
        <i/>
        <sz val="18"/>
        <rFont val="Century Gothic"/>
        <family val="2"/>
      </rPr>
      <t>(G)</t>
    </r>
    <r>
      <rPr>
        <b/>
        <i/>
        <sz val="14"/>
        <rFont val="Century Gothic"/>
        <family val="2"/>
      </rPr>
      <t>Paybale for Each Brand=</t>
    </r>
  </si>
  <si>
    <t>Cripsal</t>
  </si>
  <si>
    <t>Kripal</t>
  </si>
  <si>
    <t>IEC</t>
  </si>
  <si>
    <t>Others</t>
  </si>
  <si>
    <t>Philips</t>
  </si>
  <si>
    <t>Osaka/Britlie</t>
  </si>
  <si>
    <t>Al-Arab</t>
  </si>
  <si>
    <r>
      <t xml:space="preserve">Total Per Unit Rate Without Tax for </t>
    </r>
    <r>
      <rPr>
        <b/>
        <i/>
        <sz val="18"/>
        <rFont val="Century Gothic"/>
        <family val="2"/>
      </rPr>
      <t>(E)</t>
    </r>
    <r>
      <rPr>
        <b/>
        <i/>
        <sz val="14"/>
        <rFont val="Century Gothic"/>
        <family val="2"/>
      </rPr>
      <t>Paybale for Each Brand=</t>
    </r>
  </si>
  <si>
    <r>
      <t xml:space="preserve">Total Per Unit Rate With Tax for </t>
    </r>
    <r>
      <rPr>
        <b/>
        <i/>
        <sz val="18"/>
        <rFont val="Century Gothic"/>
        <family val="2"/>
      </rPr>
      <t>(E)</t>
    </r>
    <r>
      <rPr>
        <b/>
        <i/>
        <sz val="14"/>
        <rFont val="Century Gothic"/>
        <family val="2"/>
      </rPr>
      <t>Paybale for Each Brand=</t>
    </r>
  </si>
  <si>
    <r>
      <rPr>
        <b/>
        <strike/>
        <sz val="16"/>
        <color theme="1"/>
        <rFont val="Century Gothic"/>
        <family val="2"/>
      </rPr>
      <t>Millat</t>
    </r>
    <r>
      <rPr>
        <b/>
        <sz val="16"/>
        <color theme="1"/>
        <rFont val="Century Gothic"/>
        <family val="2"/>
      </rPr>
      <t xml:space="preserve"> GFC</t>
    </r>
  </si>
  <si>
    <r>
      <t xml:space="preserve">Total Per Unit Rate Without Tax for </t>
    </r>
    <r>
      <rPr>
        <b/>
        <i/>
        <sz val="18"/>
        <rFont val="Century Gothic"/>
        <family val="2"/>
      </rPr>
      <t>(I)</t>
    </r>
    <r>
      <rPr>
        <b/>
        <i/>
        <sz val="14"/>
        <rFont val="Century Gothic"/>
        <family val="2"/>
      </rPr>
      <t>Paybale for Each Brand=</t>
    </r>
  </si>
  <si>
    <r>
      <t xml:space="preserve">Total Per Unit Rate for </t>
    </r>
    <r>
      <rPr>
        <b/>
        <i/>
        <sz val="18"/>
        <rFont val="Century Gothic"/>
        <family val="2"/>
      </rPr>
      <t xml:space="preserve">(I) </t>
    </r>
    <r>
      <rPr>
        <b/>
        <i/>
        <sz val="14"/>
        <rFont val="Century Gothic"/>
        <family val="2"/>
      </rPr>
      <t>Paybale for Each Brand=</t>
    </r>
  </si>
  <si>
    <t>Conventional Fire alarm panel (04 Zones)</t>
  </si>
  <si>
    <t>Conventional Fire alarm panel (08 Zones)</t>
  </si>
  <si>
    <t>Smoke Detector</t>
  </si>
  <si>
    <t>Heat Detector</t>
  </si>
  <si>
    <t>Call point (both with glass and key type)</t>
  </si>
  <si>
    <t>Sounder (Siren 24VDC)</t>
  </si>
  <si>
    <t>Sounder (with Strobe 24vdc)</t>
  </si>
  <si>
    <t>I.131</t>
  </si>
  <si>
    <t>I.132</t>
  </si>
  <si>
    <t>I.133</t>
  </si>
  <si>
    <t>I.134</t>
  </si>
  <si>
    <t>I.135</t>
  </si>
  <si>
    <t>I.136</t>
  </si>
  <si>
    <t>I.137</t>
  </si>
  <si>
    <t>H.129</t>
  </si>
  <si>
    <t>H.130</t>
  </si>
  <si>
    <t>Rechargeable main free sealed acid batteries (12V – 7.5Ah)</t>
  </si>
  <si>
    <t>Rechargeable main free sealed acid batteries (12V -9Ah)</t>
  </si>
  <si>
    <r>
      <t xml:space="preserve">Total Per Unit Rate Without Tax for </t>
    </r>
    <r>
      <rPr>
        <b/>
        <i/>
        <sz val="18"/>
        <rFont val="Century Gothic"/>
        <family val="2"/>
      </rPr>
      <t xml:space="preserve">(H) </t>
    </r>
    <r>
      <rPr>
        <b/>
        <i/>
        <sz val="14"/>
        <rFont val="Century Gothic"/>
        <family val="2"/>
      </rPr>
      <t>Paybale for Each Brand=</t>
    </r>
  </si>
  <si>
    <r>
      <t xml:space="preserve">Total Per Unit Rate for </t>
    </r>
    <r>
      <rPr>
        <b/>
        <i/>
        <sz val="18"/>
        <rFont val="Century Gothic"/>
        <family val="2"/>
      </rPr>
      <t xml:space="preserve">(H) </t>
    </r>
    <r>
      <rPr>
        <b/>
        <i/>
        <sz val="14"/>
        <rFont val="Century Gothic"/>
        <family val="2"/>
      </rPr>
      <t>Paybale for Each Brand=</t>
    </r>
  </si>
  <si>
    <t>ASENWARE</t>
  </si>
  <si>
    <t>CONTEXT PLUS</t>
  </si>
  <si>
    <t>INIM</t>
  </si>
  <si>
    <t>LIFECO</t>
  </si>
  <si>
    <t>LEOCH</t>
  </si>
  <si>
    <t>Avon</t>
  </si>
  <si>
    <t>Everexceed</t>
  </si>
  <si>
    <t>Copper Cladded steel rod of 17mm dia and 10 feet length</t>
  </si>
  <si>
    <t>Ground Enhancement material (GEM) Bentonite 12kg bag</t>
  </si>
  <si>
    <t>Bare conductor 70mmsq  ( rates per feet)</t>
  </si>
  <si>
    <t>CADWELD Joint (2/3/4 way)</t>
  </si>
  <si>
    <t>Copper clamp for rod and cable</t>
  </si>
  <si>
    <t>Electroplated Copper busbar (375x50x6mm) with isolators &amp; support</t>
  </si>
  <si>
    <t>Lightning rod of 17mm tin coated (upto 2500mm)</t>
  </si>
  <si>
    <t>Lightning Base of 100x100mm tin coated</t>
  </si>
  <si>
    <t>CI Chamber of Heavy cast iron with 450x450mm</t>
  </si>
  <si>
    <t>Imported PVC chamber for Earth test point with busbar</t>
  </si>
  <si>
    <t>A type ladder fiber (06 feet)</t>
  </si>
  <si>
    <t>A type ladder fiber (12 feet)</t>
  </si>
  <si>
    <t>L.156</t>
  </si>
  <si>
    <t>L.157</t>
  </si>
  <si>
    <t>L.158</t>
  </si>
  <si>
    <t>L.159</t>
  </si>
  <si>
    <t>L.160</t>
  </si>
  <si>
    <t>L.161</t>
  </si>
  <si>
    <t>L.162</t>
  </si>
  <si>
    <t>L.163</t>
  </si>
  <si>
    <t>L.164</t>
  </si>
  <si>
    <t>L.165</t>
  </si>
  <si>
    <t>L.166</t>
  </si>
  <si>
    <t>L.167</t>
  </si>
  <si>
    <r>
      <t xml:space="preserve">Total Per Unit Rate Without Tax for </t>
    </r>
    <r>
      <rPr>
        <b/>
        <i/>
        <sz val="18"/>
        <rFont val="Century Gothic"/>
        <family val="2"/>
      </rPr>
      <t xml:space="preserve">(L) </t>
    </r>
    <r>
      <rPr>
        <b/>
        <i/>
        <sz val="14"/>
        <rFont val="Century Gothic"/>
        <family val="2"/>
      </rPr>
      <t>Paybale for Each Brand=</t>
    </r>
  </si>
  <si>
    <r>
      <t xml:space="preserve">Total Per Unit Rate for </t>
    </r>
    <r>
      <rPr>
        <b/>
        <i/>
        <sz val="18"/>
        <rFont val="Century Gothic"/>
        <family val="2"/>
      </rPr>
      <t xml:space="preserve">(L) </t>
    </r>
    <r>
      <rPr>
        <b/>
        <i/>
        <sz val="14"/>
        <rFont val="Century Gothic"/>
        <family val="2"/>
      </rPr>
      <t>Paybale for Each Brand=</t>
    </r>
  </si>
  <si>
    <t>ERICO</t>
  </si>
  <si>
    <t>FURSE</t>
  </si>
  <si>
    <t>LOCAL</t>
  </si>
  <si>
    <r>
      <t xml:space="preserve">Total Per Unit Rate for </t>
    </r>
    <r>
      <rPr>
        <b/>
        <i/>
        <sz val="18"/>
        <rFont val="Century Gothic"/>
        <family val="2"/>
      </rPr>
      <t>(K)</t>
    </r>
    <r>
      <rPr>
        <b/>
        <i/>
        <sz val="14"/>
        <rFont val="Century Gothic"/>
        <family val="2"/>
      </rPr>
      <t>Paybale for Each Brand=</t>
    </r>
  </si>
  <si>
    <r>
      <t xml:space="preserve">Total Per Unit Rate Without Tax for </t>
    </r>
    <r>
      <rPr>
        <b/>
        <i/>
        <sz val="18"/>
        <rFont val="Century Gothic"/>
        <family val="2"/>
      </rPr>
      <t xml:space="preserve">(K) </t>
    </r>
    <r>
      <rPr>
        <b/>
        <i/>
        <sz val="14"/>
        <rFont val="Century Gothic"/>
        <family val="2"/>
      </rPr>
      <t>Paybale for Each Brand=</t>
    </r>
  </si>
  <si>
    <t>BSX-60 Explosion Proof Incandescent Hand Lamps,230V,IP65 (Warom)</t>
  </si>
  <si>
    <t>Explosion proof Gland upto M25</t>
  </si>
  <si>
    <t>Explosion proof Gland upto M32</t>
  </si>
  <si>
    <t>Explosion proof Gland upto M40</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</si>
  <si>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</si>
  <si>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</si>
  <si>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</si>
  <si>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</si>
  <si>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</si>
  <si>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</si>
  <si>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</si>
  <si>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</si>
  <si>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</si>
  <si>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</si>
  <si>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</si>
  <si>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</si>
  <si>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</si>
  <si>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</si>
  <si>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</si>
  <si>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</si>
  <si>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</si>
  <si>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</si>
  <si>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</si>
  <si>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</si>
  <si>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</si>
  <si>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</si>
  <si>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</si>
  <si>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</si>
  <si>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</si>
  <si>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</si>
  <si>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B.24</t>
  </si>
  <si>
    <t>B.25</t>
  </si>
  <si>
    <t>B.26</t>
  </si>
  <si>
    <t>B.27</t>
  </si>
  <si>
    <t>B.28</t>
  </si>
  <si>
    <t>B.29</t>
  </si>
  <si>
    <t>B.30</t>
  </si>
  <si>
    <t>B.31</t>
  </si>
  <si>
    <t>B.32</t>
  </si>
  <si>
    <t>B.33</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</si>
  <si>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</si>
  <si>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</si>
  <si>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</si>
  <si>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</si>
  <si>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</si>
  <si>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</si>
  <si>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</si>
  <si>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</si>
  <si>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</si>
  <si>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</si>
  <si>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</si>
  <si>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</si>
  <si>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</si>
  <si>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</si>
  <si>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</si>
  <si>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</si>
  <si>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</si>
  <si>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</si>
  <si>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</si>
  <si>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</si>
  <si>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</si>
  <si>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</si>
  <si>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</si>
  <si>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</si>
  <si>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</si>
  <si>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</si>
  <si>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</si>
  <si>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</si>
  <si>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</si>
  <si>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</si>
  <si>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</si>
  <si>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</si>
  <si>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</si>
  <si>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</si>
  <si>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</si>
  <si>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</si>
  <si>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</si>
  <si>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E.97</t>
  </si>
  <si>
    <t>E.98</t>
  </si>
  <si>
    <t>E.99</t>
  </si>
  <si>
    <t>E.100</t>
  </si>
  <si>
    <t>E.101</t>
  </si>
  <si>
    <t>E.102</t>
  </si>
  <si>
    <t>E.103</t>
  </si>
  <si>
    <t>E.104</t>
  </si>
  <si>
    <t>E.105</t>
  </si>
  <si>
    <t>E.106</t>
  </si>
  <si>
    <t>F.107</t>
  </si>
  <si>
    <t>F.108</t>
  </si>
  <si>
    <t>F.109</t>
  </si>
  <si>
    <t>F.110</t>
  </si>
  <si>
    <t>F.111</t>
  </si>
  <si>
    <t>F.112</t>
  </si>
  <si>
    <t>F.113</t>
  </si>
  <si>
    <t>F.114</t>
  </si>
  <si>
    <t>F.115</t>
  </si>
  <si>
    <t>F.116</t>
  </si>
  <si>
    <t>F.117</t>
  </si>
  <si>
    <t>F.118</t>
  </si>
  <si>
    <t>G.119</t>
  </si>
  <si>
    <t>G.120</t>
  </si>
  <si>
    <t>G.121</t>
  </si>
  <si>
    <t>G.122</t>
  </si>
  <si>
    <t>G.123</t>
  </si>
  <si>
    <t>G.124</t>
  </si>
  <si>
    <t>G.125</t>
  </si>
  <si>
    <t>G.126</t>
  </si>
  <si>
    <t>G.127</t>
  </si>
  <si>
    <t>G.128</t>
  </si>
  <si>
    <t>SP- MCB type C, 10/16/20/32Amp / 6kA,</t>
  </si>
  <si>
    <t>2P/3P- MCB type C, 16/20/32Amp / 6kA,</t>
  </si>
  <si>
    <t>2Pole, 6/10/16/20/25/40Amp, ELCB sensitivity 30mA, type C</t>
  </si>
  <si>
    <t>4Pole, 25A/40A/63A, 6kA ELCB sensitivity 100mA, type C</t>
  </si>
  <si>
    <t>2Pole, 16A/20A, 6kA RCBO sensitivity 30mA, type C</t>
  </si>
  <si>
    <t>2Pole, 25A/40A, 6kA RCBO sensitivity 30mA, type C</t>
  </si>
  <si>
    <t>Contactor LC1-D25-D32 coil 220VAC built in NO/NC</t>
  </si>
  <si>
    <t>Contactor LC1-D25, D65 coil 220VAC built in NO/NC</t>
  </si>
  <si>
    <t>Contactor LC1D150M7+LADN22 (80kW with 2NO+2NC)</t>
  </si>
  <si>
    <t>Phase Indication Lights</t>
  </si>
  <si>
    <t>EOCR - 4-20A</t>
  </si>
  <si>
    <t>EPR Tape (3M)</t>
  </si>
  <si>
    <t>Heat shrinkable tube upto 16mmsq</t>
  </si>
  <si>
    <t>Green mesh with Binding wire/Orange Tarpal sheet</t>
  </si>
  <si>
    <t>sqft</t>
  </si>
  <si>
    <t>Schneider</t>
  </si>
  <si>
    <r>
      <t xml:space="preserve">Total Per Unit Rate Without Tax for </t>
    </r>
    <r>
      <rPr>
        <b/>
        <i/>
        <sz val="18"/>
        <rFont val="Century Gothic"/>
        <family val="2"/>
      </rPr>
      <t>(J)</t>
    </r>
    <r>
      <rPr>
        <b/>
        <i/>
        <sz val="14"/>
        <rFont val="Century Gothic"/>
        <family val="2"/>
      </rPr>
      <t>Paybale for Each Brand=</t>
    </r>
  </si>
  <si>
    <r>
      <t xml:space="preserve">Total Per Unit Rate for </t>
    </r>
    <r>
      <rPr>
        <b/>
        <i/>
        <sz val="18"/>
        <rFont val="Century Gothic"/>
        <family val="2"/>
      </rPr>
      <t>(J)</t>
    </r>
    <r>
      <rPr>
        <b/>
        <i/>
        <sz val="14"/>
        <rFont val="Century Gothic"/>
        <family val="2"/>
      </rPr>
      <t>Paybale for Each Brand=</t>
    </r>
  </si>
  <si>
    <t>J.138</t>
  </si>
  <si>
    <t>J.139</t>
  </si>
  <si>
    <t>J.140</t>
  </si>
  <si>
    <t>J.141</t>
  </si>
  <si>
    <t>J.142</t>
  </si>
  <si>
    <t>J.143</t>
  </si>
  <si>
    <t>J.144</t>
  </si>
  <si>
    <t>J.145</t>
  </si>
  <si>
    <t>J.146</t>
  </si>
  <si>
    <t>J.147</t>
  </si>
  <si>
    <t>J.148</t>
  </si>
  <si>
    <t>J.149</t>
  </si>
  <si>
    <t>J.150</t>
  </si>
  <si>
    <t>J.151</t>
  </si>
  <si>
    <t>K.152</t>
  </si>
  <si>
    <t>K.153</t>
  </si>
  <si>
    <t>K.154</t>
  </si>
  <si>
    <t>K.155</t>
  </si>
  <si>
    <r>
      <t xml:space="preserve">Total Per Unit Rate Without Tax for </t>
    </r>
    <r>
      <rPr>
        <b/>
        <i/>
        <sz val="18"/>
        <rFont val="Century Gothic"/>
        <family val="2"/>
      </rPr>
      <t xml:space="preserve">(A to L) </t>
    </r>
    <r>
      <rPr>
        <b/>
        <i/>
        <sz val="14"/>
        <rFont val="Century Gothic"/>
        <family val="2"/>
      </rPr>
      <t>Paybale for Each Brand=</t>
    </r>
  </si>
  <si>
    <t>BOSSIL  USA</t>
  </si>
  <si>
    <t>Master Fibre</t>
  </si>
  <si>
    <r>
      <t xml:space="preserve">Qutation # : </t>
    </r>
    <r>
      <rPr>
        <b/>
        <sz val="18"/>
        <color theme="1"/>
        <rFont val="Century Gothic"/>
        <family val="2"/>
      </rPr>
      <t>MTQ-AA01101-ELE-A3</t>
    </r>
  </si>
  <si>
    <r>
      <t xml:space="preserve">Date / Rev # : </t>
    </r>
    <r>
      <rPr>
        <b/>
        <sz val="18"/>
        <color theme="1"/>
        <rFont val="Century Gothic"/>
        <family val="2"/>
      </rPr>
      <t>11-NOV-2025 | A3</t>
    </r>
  </si>
  <si>
    <t>Mr. Muhammad Ismail Shah,</t>
  </si>
  <si>
    <t>Electrical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</si>
</sst>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43" x14ac:knownFonts="1">
    <font>
      <sz val="10"/>
      <color rgb="FF000000"/>
      <name val="Times New Roman"/>
      <charset val="204"/>
    </font>
    <font>
      <sz val="10"/>
      <color rgb="FF000000"/>
      <name val="Times New Roman"/>
      <family val="1"/>
    </font>
    <font>
      <u/>
      <sz val="10"/>
      <color theme="10"/>
      <name val="Times New Roman"/>
      <family val="1"/>
    </font>
    <font>
      <sz val="10"/>
      <color rgb="FF000000"/>
      <name val="Century Gothic"/>
      <family val="2"/>
    </font>
    <font>
      <b/>
      <sz val="16"/>
      <color theme="1"/>
      <name val="Century Gothic"/>
      <family val="2"/>
    </font>
    <font>
      <b/>
      <sz val="10"/>
      <color theme="1"/>
      <name val="Century Gothic"/>
      <family val="2"/>
    </font>
    <font>
      <b/>
      <sz val="14"/>
      <color rgb="FF000000"/>
      <name val="Century Gothic"/>
      <family val="2"/>
    </font>
    <font>
      <sz val="10"/>
      <name val="Century Gothic"/>
      <family val="2"/>
    </font>
    <font>
      <sz val="11"/>
      <color rgb="FF000000"/>
      <name val="Century Gothic"/>
      <family val="2"/>
    </font>
    <font>
      <b/>
      <sz val="16"/>
      <name val="Century Gothic"/>
      <family val="2"/>
    </font>
    <font>
      <b/>
      <sz val="16"/>
      <color theme="0"/>
      <name val="Century Gothic"/>
      <family val="2"/>
    </font>
    <font>
      <b/>
      <i/>
      <sz val="12"/>
      <name val="Century Gothic"/>
      <family val="2"/>
    </font>
    <font>
      <i/>
      <sz val="12"/>
      <name val="Century Gothic"/>
      <family val="2"/>
    </font>
    <font>
      <i/>
      <sz val="12"/>
      <color rgb="FF000000"/>
      <name val="Century Gothic"/>
      <family val="2"/>
    </font>
    <font>
      <b/>
      <i/>
      <sz val="12"/>
      <color rgb="FF000000"/>
      <name val="Century Gothic"/>
      <family val="2"/>
    </font>
    <font>
      <b/>
      <sz val="11"/>
      <color theme="0"/>
      <name val="Century Gothic"/>
      <family val="2"/>
    </font>
    <font>
      <b/>
      <sz val="11"/>
      <name val="Century Gothic"/>
      <family val="2"/>
    </font>
    <font>
      <b/>
      <sz val="14"/>
      <name val="Century Gothic"/>
      <family val="2"/>
    </font>
    <font>
      <sz val="14"/>
      <color rgb="FF000000"/>
      <name val="Century Gothic"/>
      <family val="2"/>
    </font>
    <font>
      <sz val="14"/>
      <color theme="1"/>
      <name val="Century Gothic"/>
      <family val="2"/>
    </font>
    <font>
      <sz val="12"/>
      <color theme="1"/>
      <name val="Century Gothic"/>
      <family val="2"/>
    </font>
    <font>
      <sz val="12"/>
      <color rgb="FF000000"/>
      <name val="Century Gothic"/>
      <family val="2"/>
    </font>
    <font>
      <b/>
      <sz val="20"/>
      <name val="Century Gothic"/>
      <family val="2"/>
    </font>
    <font>
      <b/>
      <sz val="18"/>
      <color theme="1"/>
      <name val="Century Gothic"/>
      <family val="2"/>
    </font>
    <font>
      <sz val="18"/>
      <color theme="1"/>
      <name val="Century Gothic"/>
      <family val="2"/>
    </font>
    <font>
      <b/>
      <sz val="18"/>
      <color rgb="FF000000"/>
      <name val="Century Gothic"/>
      <family val="2"/>
    </font>
    <font>
      <b/>
      <u/>
      <sz val="14"/>
      <color theme="1"/>
      <name val="Century Gothic"/>
      <family val="2"/>
    </font>
    <font>
      <sz val="14"/>
      <name val="Century Gothic"/>
      <family val="2"/>
    </font>
    <font>
      <i/>
      <sz val="16"/>
      <color theme="1"/>
      <name val="Century Gothic"/>
      <family val="2"/>
    </font>
    <font>
      <i/>
      <sz val="16"/>
      <name val="Century Gothic"/>
      <family val="2"/>
    </font>
    <font>
      <sz val="16"/>
      <color rgb="FF000000"/>
      <name val="Century Gothic"/>
      <family val="2"/>
    </font>
    <font>
      <i/>
      <sz val="16"/>
      <color rgb="FF000000"/>
      <name val="Century Gothic"/>
      <family val="2"/>
    </font>
    <font>
      <u/>
      <sz val="16"/>
      <color theme="10"/>
      <name val="Century Gothic"/>
      <family val="2"/>
    </font>
    <font>
      <b/>
      <sz val="24"/>
      <color theme="1"/>
      <name val="Century Gothic"/>
      <family val="2"/>
    </font>
    <font>
      <b/>
      <sz val="24"/>
      <name val="Century Gothic"/>
      <family val="2"/>
    </font>
    <font>
      <i/>
      <sz val="14"/>
      <color theme="1"/>
      <name val="Century Gothic"/>
      <family val="2"/>
    </font>
    <font>
      <b/>
      <i/>
      <sz val="14"/>
      <color theme="1"/>
      <name val="Century Gothic"/>
      <family val="2"/>
    </font>
    <font>
      <b/>
      <sz val="14"/>
      <color theme="1"/>
      <name val="Century Gothic"/>
      <family val="2"/>
    </font>
    <font>
      <b/>
      <i/>
      <sz val="16"/>
      <name val="Century Gothic"/>
      <family val="2"/>
    </font>
    <font>
      <b/>
      <i/>
      <sz val="14"/>
      <name val="Century Gothic"/>
      <family val="2"/>
    </font>
    <font>
      <b/>
      <i/>
      <sz val="18"/>
      <name val="Century Gothic"/>
      <family val="2"/>
    </font>
    <font>
      <sz val="8"/>
      <name val="Times New Roman"/>
      <family val="1"/>
    </font>
    <font>
      <b/>
      <strike/>
      <sz val="16"/>
      <color theme="1"/>
      <name val="Century Gothic"/>
      <family val="2"/>
    </font>
  </fonts>
  <fills count="10">
    <fill>
      <patternFill patternType="none"/>
    </fill>
    <fill>
      <patternFill patternType="gray125"/>
    </fill>
    <fill>
      <patternFill patternType="solid">
        <fgColor theme="0" tint="-0.14999847407452621"/>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2"/>
        <bgColor indexed="64"/>
      </patternFill>
    </fill>
    <fill>
      <patternFill patternType="solid">
        <fgColor theme="0" tint="-0.34998626667073579"/>
        <bgColor indexed="64"/>
      </patternFill>
    </fill>
    <fill>
      <patternFill patternType="solid">
        <fgColor theme="1" tint="0.249977111117893"/>
        <bgColor indexed="64"/>
      </patternFill>
    </fill>
    <fill>
      <patternFill patternType="solid">
        <fgColor rgb="FFFFFF00"/>
        <bgColor indexed="64"/>
      </patternFill>
    </fill>
    <fill>
      <patternFill patternType="solid">
        <fgColor theme="5" tint="0.79998168889431442"/>
        <bgColor indexed="64"/>
      </patternFill>
    </fill>
  </fills>
  <borders count="38">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medium">
        <color indexed="64"/>
      </bottom>
      <diagonal/>
    </border>
    <border>
      <left style="thin">
        <color rgb="FF000000"/>
      </left>
      <right style="medium">
        <color indexed="64"/>
      </right>
      <top/>
      <bottom style="thin">
        <color rgb="FF000000"/>
      </bottom>
      <diagonal/>
    </border>
    <border>
      <left style="medium">
        <color indexed="64"/>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style="thin">
        <color rgb="FF000000"/>
      </left>
      <right/>
      <top/>
      <bottom style="medium">
        <color indexed="64"/>
      </bottom>
      <diagonal/>
    </border>
    <border>
      <left style="medium">
        <color indexed="64"/>
      </left>
      <right style="thin">
        <color rgb="FF000000"/>
      </right>
      <top style="medium">
        <color indexed="64"/>
      </top>
      <bottom style="thin">
        <color indexed="64"/>
      </bottom>
      <diagonal/>
    </border>
    <border>
      <left style="thin">
        <color indexed="64"/>
      </left>
      <right style="thin">
        <color indexed="64"/>
      </right>
      <top style="thin">
        <color indexed="64"/>
      </top>
      <bottom/>
      <diagonal/>
    </border>
    <border>
      <left style="thin">
        <color rgb="FF000000"/>
      </left>
      <right/>
      <top style="medium">
        <color indexed="64"/>
      </top>
      <bottom style="medium">
        <color indexed="64"/>
      </bottom>
      <diagonal/>
    </border>
    <border>
      <left/>
      <right style="thin">
        <color rgb="FF000000"/>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medium">
        <color indexed="64"/>
      </right>
      <top style="thin">
        <color indexed="64"/>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indexed="64"/>
      </right>
      <top/>
      <bottom/>
      <diagonal/>
    </border>
    <border>
      <left style="thin">
        <color rgb="FF000000"/>
      </left>
      <right/>
      <top style="medium">
        <color indexed="64"/>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24">
    <xf numFmtId="0" fontId="0" fillId="0" borderId="0" xfId="0" applyAlignment="1">
      <alignment horizontal="left" vertical="top"/>
    </xf>
    <xf numFmtId="0" fontId="3" fillId="0" borderId="0" xfId="0" applyFont="1" applyAlignment="1">
      <alignment horizontal="left" vertical="top"/>
    </xf>
    <xf numFmtId="0" fontId="3" fillId="0" borderId="0" xfId="0" applyFont="1" applyAlignment="1">
      <alignment horizontal="center" vertical="center"/>
    </xf>
    <xf numFmtId="0" fontId="8" fillId="0" borderId="0" xfId="0" applyFont="1" applyAlignment="1">
      <alignment horizontal="center" vertical="center" wrapText="1"/>
    </xf>
    <xf numFmtId="43" fontId="12" fillId="2" borderId="6" xfId="0" applyNumberFormat="1" applyFont="1" applyFill="1" applyBorder="1" applyAlignment="1">
      <alignment horizontal="right" vertical="center" wrapText="1"/>
    </xf>
    <xf numFmtId="164" fontId="13" fillId="2" borderId="6" xfId="1" applyNumberFormat="1" applyFont="1" applyFill="1" applyBorder="1" applyAlignment="1">
      <alignment horizontal="center" vertical="center" shrinkToFit="1"/>
    </xf>
    <xf numFmtId="164" fontId="14" fillId="2" borderId="6" xfId="1" applyNumberFormat="1" applyFont="1" applyFill="1" applyBorder="1" applyAlignment="1">
      <alignment horizontal="center" vertical="center" shrinkToFit="1"/>
    </xf>
    <xf numFmtId="0" fontId="16" fillId="0" borderId="20" xfId="0" applyFont="1" applyBorder="1" applyAlignment="1">
      <alignment horizontal="center" vertical="center" wrapText="1"/>
    </xf>
    <xf numFmtId="0" fontId="7" fillId="0" borderId="0" xfId="0" applyFont="1" applyAlignment="1">
      <alignment horizontal="left" vertical="center" wrapText="1"/>
    </xf>
    <xf numFmtId="0" fontId="20" fillId="0" borderId="2" xfId="0" applyFont="1" applyBorder="1" applyAlignment="1">
      <alignment horizontal="left" vertical="top" wrapText="1"/>
    </xf>
    <xf numFmtId="0" fontId="17" fillId="9" borderId="5" xfId="0" applyFont="1" applyFill="1" applyBorder="1" applyAlignment="1">
      <alignment horizontal="center" vertical="center" wrapText="1"/>
    </xf>
    <xf numFmtId="0" fontId="19" fillId="0" borderId="2" xfId="0" applyFont="1" applyBorder="1" applyAlignment="1">
      <alignment horizontal="left" vertical="top" wrapText="1"/>
    </xf>
    <xf numFmtId="43" fontId="18" fillId="0" borderId="4" xfId="1" applyFont="1" applyBorder="1" applyAlignment="1">
      <alignment horizontal="center" vertical="center" shrinkToFit="1"/>
    </xf>
    <xf numFmtId="0" fontId="17" fillId="4" borderId="13" xfId="0" applyFont="1" applyFill="1" applyBorder="1" applyAlignment="1">
      <alignment horizontal="center" vertical="center" wrapText="1"/>
    </xf>
    <xf numFmtId="0" fontId="17" fillId="4" borderId="14" xfId="0" applyFont="1" applyFill="1" applyBorder="1" applyAlignment="1">
      <alignment horizontal="center" vertical="center" wrapText="1"/>
    </xf>
    <xf numFmtId="0" fontId="17" fillId="4" borderId="15" xfId="0" applyFont="1" applyFill="1" applyBorder="1" applyAlignment="1">
      <alignment horizontal="center" vertical="center" wrapText="1"/>
    </xf>
    <xf numFmtId="0" fontId="5" fillId="0" borderId="0" xfId="0" applyFont="1" applyAlignment="1">
      <alignment horizontal="left" vertical="center" wrapText="1"/>
    </xf>
    <xf numFmtId="0" fontId="23" fillId="0" borderId="0" xfId="0" applyFont="1" applyAlignment="1">
      <alignment horizontal="center" vertical="center" wrapText="1"/>
    </xf>
    <xf numFmtId="0" fontId="28" fillId="0" borderId="0" xfId="0" applyFont="1" applyAlignment="1">
      <alignment vertical="top"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21" fillId="0" borderId="1" xfId="0" applyFont="1" applyBorder="1" applyAlignment="1">
      <alignment horizontal="center" vertical="center" wrapText="1"/>
    </xf>
    <xf numFmtId="1" fontId="21" fillId="0" borderId="1" xfId="0" applyNumberFormat="1" applyFont="1" applyBorder="1" applyAlignment="1">
      <alignment horizontal="center" vertical="center" wrapText="1"/>
    </xf>
    <xf numFmtId="0" fontId="32" fillId="0" borderId="0" xfId="2" applyFont="1" applyBorder="1" applyAlignment="1" applyProtection="1">
      <alignment vertical="top" wrapText="1"/>
    </xf>
    <xf numFmtId="0" fontId="4" fillId="0" borderId="6" xfId="0" applyFont="1" applyBorder="1" applyAlignment="1">
      <alignment vertical="top" wrapText="1"/>
    </xf>
    <xf numFmtId="0" fontId="23" fillId="0" borderId="0" xfId="0" applyFont="1" applyAlignment="1">
      <alignment vertical="top" wrapText="1"/>
    </xf>
    <xf numFmtId="0" fontId="25" fillId="0" borderId="3" xfId="0" applyFont="1" applyBorder="1" applyAlignment="1">
      <alignment vertical="top" wrapText="1"/>
    </xf>
    <xf numFmtId="0" fontId="23" fillId="0" borderId="0" xfId="0" applyFont="1" applyAlignment="1">
      <alignment vertical="top"/>
    </xf>
    <xf numFmtId="0" fontId="25" fillId="0" borderId="3" xfId="0" applyFont="1" applyBorder="1" applyAlignment="1">
      <alignment vertical="top"/>
    </xf>
    <xf numFmtId="164" fontId="11" fillId="2" borderId="6" xfId="0" applyNumberFormat="1" applyFont="1" applyFill="1" applyBorder="1" applyAlignment="1">
      <alignment horizontal="right" vertical="center" wrapText="1"/>
    </xf>
    <xf numFmtId="164" fontId="38" fillId="2" borderId="6" xfId="0" applyNumberFormat="1" applyFont="1" applyFill="1" applyBorder="1" applyAlignment="1">
      <alignment horizontal="right" vertical="center" wrapText="1"/>
    </xf>
    <xf numFmtId="0" fontId="17" fillId="0" borderId="11" xfId="0" applyFont="1" applyBorder="1" applyAlignment="1">
      <alignment horizontal="center" vertical="center" wrapText="1"/>
    </xf>
    <xf numFmtId="0" fontId="37" fillId="0" borderId="19" xfId="0" applyFont="1" applyBorder="1" applyAlignment="1">
      <alignment horizontal="right" vertical="center" wrapText="1"/>
    </xf>
    <xf numFmtId="0" fontId="37" fillId="0" borderId="3" xfId="0" applyFont="1" applyBorder="1" applyAlignment="1">
      <alignment horizontal="right" vertical="center" wrapText="1"/>
    </xf>
    <xf numFmtId="41" fontId="6" fillId="0" borderId="18" xfId="1" applyNumberFormat="1" applyFont="1" applyBorder="1" applyAlignment="1">
      <alignment horizontal="center" vertical="center" shrinkToFit="1"/>
    </xf>
    <xf numFmtId="41" fontId="36" fillId="0" borderId="16" xfId="1" applyNumberFormat="1" applyFont="1" applyFill="1" applyBorder="1" applyAlignment="1">
      <alignment horizontal="center" vertical="center" wrapText="1"/>
    </xf>
    <xf numFmtId="43" fontId="6" fillId="0" borderId="8" xfId="1" applyFont="1" applyBorder="1" applyAlignment="1">
      <alignment horizontal="center" vertical="center" shrinkToFit="1"/>
    </xf>
    <xf numFmtId="164" fontId="18" fillId="0" borderId="1" xfId="1" applyNumberFormat="1" applyFont="1" applyBorder="1" applyAlignment="1">
      <alignment horizontal="center" vertical="center" shrinkToFit="1"/>
    </xf>
    <xf numFmtId="164" fontId="12" fillId="2" borderId="24" xfId="0" applyNumberFormat="1" applyFont="1" applyFill="1" applyBorder="1" applyAlignment="1">
      <alignment horizontal="right" vertical="center" wrapText="1"/>
    </xf>
    <xf numFmtId="164" fontId="13" fillId="2" borderId="24" xfId="1" applyNumberFormat="1" applyFont="1" applyFill="1" applyBorder="1" applyAlignment="1">
      <alignment horizontal="center" vertical="center" shrinkToFit="1"/>
    </xf>
    <xf numFmtId="43" fontId="18" fillId="0" borderId="1" xfId="1" applyFont="1" applyBorder="1" applyAlignment="1">
      <alignment horizontal="center" vertical="center" shrinkToFit="1"/>
    </xf>
    <xf numFmtId="43" fontId="18" fillId="0" borderId="2" xfId="1" applyFont="1" applyBorder="1" applyAlignment="1">
      <alignment horizontal="center" vertical="center" shrinkToFit="1"/>
    </xf>
    <xf numFmtId="43" fontId="35" fillId="0" borderId="21" xfId="1" applyFont="1" applyFill="1" applyBorder="1" applyAlignment="1">
      <alignment horizontal="center" vertical="center" wrapText="1"/>
    </xf>
    <xf numFmtId="43" fontId="18" fillId="0" borderId="8" xfId="1" applyFont="1" applyBorder="1" applyAlignment="1">
      <alignment horizontal="center" vertical="center" shrinkToFit="1"/>
    </xf>
    <xf numFmtId="9" fontId="11" fillId="2" borderId="6" xfId="0" applyNumberFormat="1" applyFont="1" applyFill="1" applyBorder="1" applyAlignment="1">
      <alignment vertical="center" wrapText="1"/>
    </xf>
    <xf numFmtId="43" fontId="38" fillId="2" borderId="6" xfId="0" applyNumberFormat="1" applyFont="1" applyFill="1" applyBorder="1" applyAlignment="1">
      <alignment horizontal="right" vertical="center" wrapText="1"/>
    </xf>
    <xf numFmtId="43" fontId="12" fillId="2" borderId="24" xfId="0" applyNumberFormat="1" applyFont="1" applyFill="1" applyBorder="1" applyAlignment="1">
      <alignment horizontal="right" vertical="center" wrapText="1"/>
    </xf>
    <xf numFmtId="43" fontId="11" fillId="2" borderId="6" xfId="0" applyNumberFormat="1" applyFont="1" applyFill="1" applyBorder="1" applyAlignment="1">
      <alignment horizontal="right" vertical="center" wrapText="1"/>
    </xf>
    <xf numFmtId="0" fontId="17" fillId="9" borderId="26" xfId="0" applyFont="1" applyFill="1" applyBorder="1" applyAlignment="1">
      <alignment horizontal="center" vertical="center" wrapText="1"/>
    </xf>
    <xf numFmtId="0" fontId="19" fillId="0" borderId="27" xfId="0" applyFont="1" applyBorder="1" applyAlignment="1">
      <alignment horizontal="left" vertical="top" wrapText="1"/>
    </xf>
    <xf numFmtId="1" fontId="21" fillId="0" borderId="27" xfId="0" applyNumberFormat="1" applyFont="1" applyBorder="1" applyAlignment="1">
      <alignment horizontal="center" vertical="center" wrapText="1"/>
    </xf>
    <xf numFmtId="0" fontId="21" fillId="0" borderId="27" xfId="0" applyFont="1" applyBorder="1" applyAlignment="1">
      <alignment horizontal="center" vertical="center" wrapText="1"/>
    </xf>
    <xf numFmtId="43" fontId="18" fillId="0" borderId="27" xfId="1" applyFont="1" applyBorder="1" applyAlignment="1">
      <alignment horizontal="center" vertical="center" shrinkToFit="1"/>
    </xf>
    <xf numFmtId="43" fontId="35" fillId="0" borderId="27" xfId="1" applyFont="1" applyFill="1" applyBorder="1" applyAlignment="1">
      <alignment horizontal="center" vertical="center" wrapText="1"/>
    </xf>
    <xf numFmtId="43" fontId="18" fillId="0" borderId="28" xfId="1" applyFont="1" applyBorder="1" applyAlignment="1">
      <alignment horizontal="center" vertical="center" shrinkToFit="1"/>
    </xf>
    <xf numFmtId="0" fontId="17" fillId="9" borderId="29" xfId="0" applyFont="1" applyFill="1" applyBorder="1" applyAlignment="1">
      <alignment horizontal="center" vertical="center" wrapText="1"/>
    </xf>
    <xf numFmtId="0" fontId="19" fillId="0" borderId="30" xfId="0" applyFont="1" applyBorder="1" applyAlignment="1">
      <alignment horizontal="left" vertical="top" wrapText="1"/>
    </xf>
    <xf numFmtId="1" fontId="21" fillId="0" borderId="30" xfId="0" applyNumberFormat="1" applyFont="1" applyBorder="1" applyAlignment="1">
      <alignment horizontal="center" vertical="center" wrapText="1"/>
    </xf>
    <xf numFmtId="0" fontId="21" fillId="0" borderId="30" xfId="0" applyFont="1" applyBorder="1" applyAlignment="1">
      <alignment horizontal="center" vertical="center" wrapText="1"/>
    </xf>
    <xf numFmtId="43" fontId="18" fillId="0" borderId="30" xfId="1" applyFont="1" applyBorder="1" applyAlignment="1">
      <alignment horizontal="center" vertical="center" shrinkToFit="1"/>
    </xf>
    <xf numFmtId="43" fontId="35" fillId="0" borderId="30" xfId="1" applyFont="1" applyFill="1" applyBorder="1" applyAlignment="1">
      <alignment horizontal="center" vertical="center" wrapText="1"/>
    </xf>
    <xf numFmtId="43" fontId="18" fillId="0" borderId="31" xfId="1" applyFont="1" applyBorder="1" applyAlignment="1">
      <alignment horizontal="center" vertical="center" shrinkToFit="1"/>
    </xf>
    <xf numFmtId="0" fontId="19" fillId="0" borderId="32" xfId="0" applyFont="1" applyBorder="1" applyAlignment="1">
      <alignment horizontal="left" vertical="top" wrapText="1"/>
    </xf>
    <xf numFmtId="1" fontId="21" fillId="0" borderId="32" xfId="0" applyNumberFormat="1" applyFont="1" applyBorder="1" applyAlignment="1">
      <alignment horizontal="center" vertical="center" wrapText="1"/>
    </xf>
    <xf numFmtId="0" fontId="21" fillId="0" borderId="32" xfId="0" applyFont="1" applyBorder="1" applyAlignment="1">
      <alignment horizontal="center" vertical="center" wrapText="1"/>
    </xf>
    <xf numFmtId="43" fontId="18" fillId="0" borderId="32" xfId="1" applyFont="1" applyBorder="1" applyAlignment="1">
      <alignment horizontal="center" vertical="center" shrinkToFit="1"/>
    </xf>
    <xf numFmtId="43" fontId="18" fillId="0" borderId="33" xfId="1" applyFont="1" applyBorder="1" applyAlignment="1">
      <alignment horizontal="center" vertical="center" shrinkToFit="1"/>
    </xf>
    <xf numFmtId="43" fontId="38" fillId="2" borderId="25" xfId="0" applyNumberFormat="1" applyFont="1" applyFill="1" applyBorder="1" applyAlignment="1">
      <alignment horizontal="right" vertical="center" wrapText="1"/>
    </xf>
    <xf numFmtId="164" fontId="13" fillId="2" borderId="25" xfId="1" applyNumberFormat="1" applyFont="1" applyFill="1" applyBorder="1" applyAlignment="1">
      <alignment horizontal="center" vertical="center" shrinkToFit="1"/>
    </xf>
    <xf numFmtId="43" fontId="6" fillId="0" borderId="30" xfId="1" applyFont="1" applyBorder="1" applyAlignment="1">
      <alignment horizontal="center" vertical="center" shrinkToFit="1"/>
    </xf>
    <xf numFmtId="0" fontId="19" fillId="0" borderId="34" xfId="0" applyFont="1" applyBorder="1" applyAlignment="1">
      <alignment horizontal="left" vertical="top" wrapText="1"/>
    </xf>
    <xf numFmtId="1" fontId="21" fillId="0" borderId="35" xfId="0" applyNumberFormat="1" applyFont="1" applyBorder="1" applyAlignment="1">
      <alignment horizontal="center" vertical="center" wrapText="1"/>
    </xf>
    <xf numFmtId="0" fontId="21" fillId="0" borderId="35" xfId="0" applyFont="1" applyBorder="1" applyAlignment="1">
      <alignment horizontal="center" vertical="center" wrapText="1"/>
    </xf>
    <xf numFmtId="43" fontId="18" fillId="0" borderId="35" xfId="1" applyFont="1" applyBorder="1" applyAlignment="1">
      <alignment horizontal="center" vertical="center" shrinkToFit="1"/>
    </xf>
    <xf numFmtId="43" fontId="18" fillId="0" borderId="34" xfId="1" applyFont="1" applyBorder="1" applyAlignment="1">
      <alignment horizontal="center" vertical="center" shrinkToFit="1"/>
    </xf>
    <xf numFmtId="43" fontId="18" fillId="0" borderId="36" xfId="1" applyFont="1" applyBorder="1" applyAlignment="1">
      <alignment horizontal="center" vertical="center" shrinkToFit="1"/>
    </xf>
    <xf numFmtId="9" fontId="11" fillId="2" borderId="24" xfId="0" applyNumberFormat="1" applyFont="1" applyFill="1" applyBorder="1" applyAlignment="1">
      <alignment vertical="center" wrapText="1"/>
    </xf>
    <xf numFmtId="43" fontId="18" fillId="0" borderId="16" xfId="1" applyFont="1" applyBorder="1" applyAlignment="1">
      <alignment horizontal="center" vertical="center" shrinkToFit="1"/>
    </xf>
    <xf numFmtId="0" fontId="9" fillId="0" borderId="11" xfId="0" applyFont="1" applyBorder="1" applyAlignment="1">
      <alignment horizontal="center" vertical="center" wrapText="1"/>
    </xf>
    <xf numFmtId="0" fontId="9" fillId="0" borderId="17" xfId="0" applyFont="1" applyBorder="1" applyAlignment="1">
      <alignment horizontal="center" vertical="center" wrapText="1"/>
    </xf>
    <xf numFmtId="0" fontId="6" fillId="3" borderId="9" xfId="0" applyFont="1" applyFill="1" applyBorder="1" applyAlignment="1">
      <alignment horizontal="center" vertical="center" wrapText="1"/>
    </xf>
    <xf numFmtId="0" fontId="6" fillId="3" borderId="10"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12" xfId="0" applyFont="1" applyFill="1" applyBorder="1" applyAlignment="1">
      <alignment horizontal="center" vertical="center"/>
    </xf>
    <xf numFmtId="0" fontId="39" fillId="2" borderId="17" xfId="0" applyFont="1" applyFill="1" applyBorder="1" applyAlignment="1">
      <alignment horizontal="right" vertical="center" wrapText="1"/>
    </xf>
    <xf numFmtId="0" fontId="39" fillId="2" borderId="18" xfId="0" applyFont="1" applyFill="1" applyBorder="1" applyAlignment="1">
      <alignment horizontal="right" vertical="center" wrapText="1"/>
    </xf>
    <xf numFmtId="0" fontId="39" fillId="2" borderId="16" xfId="0" applyFont="1" applyFill="1" applyBorder="1" applyAlignment="1">
      <alignment horizontal="right" vertical="center" wrapText="1"/>
    </xf>
    <xf numFmtId="0" fontId="11" fillId="2" borderId="17" xfId="0" applyFont="1" applyFill="1" applyBorder="1" applyAlignment="1">
      <alignment horizontal="right" vertical="center" wrapText="1"/>
    </xf>
    <xf numFmtId="0" fontId="11" fillId="2" borderId="18" xfId="0" applyFont="1" applyFill="1" applyBorder="1" applyAlignment="1">
      <alignment horizontal="right" vertical="center" wrapText="1"/>
    </xf>
    <xf numFmtId="0" fontId="24" fillId="0" borderId="0" xfId="0" applyFont="1" applyAlignment="1">
      <alignment horizontal="center" vertical="center" wrapText="1"/>
    </xf>
    <xf numFmtId="0" fontId="24" fillId="0" borderId="3" xfId="0" applyFont="1" applyBorder="1" applyAlignment="1">
      <alignment horizontal="center" vertical="center" wrapText="1"/>
    </xf>
    <xf numFmtId="0" fontId="15" fillId="0" borderId="37" xfId="0" applyFont="1" applyBorder="1" applyAlignment="1">
      <alignment horizontal="left" vertical="top" wrapText="1"/>
    </xf>
    <xf numFmtId="0" fontId="15" fillId="0" borderId="10" xfId="0" applyFont="1" applyBorder="1" applyAlignment="1">
      <alignment horizontal="left" vertical="top" wrapText="1"/>
    </xf>
    <xf numFmtId="0" fontId="15" fillId="0" borderId="7" xfId="0" applyFont="1" applyBorder="1" applyAlignment="1">
      <alignment horizontal="left" vertical="top" wrapText="1"/>
    </xf>
    <xf numFmtId="0" fontId="10" fillId="7" borderId="17" xfId="0" applyFont="1" applyFill="1" applyBorder="1" applyAlignment="1">
      <alignment horizontal="left" vertical="top" wrapText="1"/>
    </xf>
    <xf numFmtId="0" fontId="10" fillId="7" borderId="18" xfId="0" applyFont="1" applyFill="1" applyBorder="1" applyAlignment="1">
      <alignment horizontal="left" vertical="top" wrapText="1"/>
    </xf>
    <xf numFmtId="0" fontId="10" fillId="7" borderId="16" xfId="0" applyFont="1" applyFill="1" applyBorder="1" applyAlignment="1">
      <alignment horizontal="left" vertical="top" wrapText="1"/>
    </xf>
    <xf numFmtId="0" fontId="11" fillId="2" borderId="16" xfId="0" applyFont="1" applyFill="1" applyBorder="1" applyAlignment="1">
      <alignment horizontal="right" vertical="center" wrapText="1"/>
    </xf>
    <xf numFmtId="0" fontId="39" fillId="2" borderId="9" xfId="0" applyFont="1" applyFill="1" applyBorder="1" applyAlignment="1">
      <alignment horizontal="right" vertical="center" wrapText="1"/>
    </xf>
    <xf numFmtId="0" fontId="39" fillId="2" borderId="10" xfId="0" applyFont="1" applyFill="1" applyBorder="1" applyAlignment="1">
      <alignment horizontal="right" vertical="center" wrapText="1"/>
    </xf>
    <xf numFmtId="0" fontId="39" fillId="2" borderId="7" xfId="0" applyFont="1" applyFill="1" applyBorder="1" applyAlignment="1">
      <alignment horizontal="right" vertical="center" wrapText="1"/>
    </xf>
    <xf numFmtId="0" fontId="4" fillId="0" borderId="0" xfId="0" applyFont="1" applyAlignment="1">
      <alignment horizontal="left" vertical="center" wrapText="1"/>
    </xf>
    <xf numFmtId="0" fontId="27" fillId="0" borderId="0" xfId="0" applyFont="1" applyAlignment="1">
      <alignment horizontal="left" vertical="center" wrapText="1"/>
    </xf>
    <xf numFmtId="0" fontId="22" fillId="2" borderId="0" xfId="0" applyFont="1" applyFill="1" applyAlignment="1">
      <alignment horizontal="left" vertical="center" wrapText="1"/>
    </xf>
    <xf numFmtId="0" fontId="17" fillId="8" borderId="0" xfId="0" applyFont="1" applyFill="1" applyAlignment="1">
      <alignment horizontal="left" vertical="center" wrapText="1"/>
    </xf>
    <xf numFmtId="0" fontId="26" fillId="2" borderId="0" xfId="0" applyFont="1" applyFill="1" applyAlignment="1">
      <alignment horizontal="left" vertical="top" wrapText="1"/>
    </xf>
    <xf numFmtId="0" fontId="17" fillId="8" borderId="0" xfId="0" applyFont="1" applyFill="1" applyAlignment="1">
      <alignment horizontal="left" vertical="top" wrapText="1"/>
    </xf>
    <xf numFmtId="0" fontId="32" fillId="0" borderId="0" xfId="2" applyFont="1" applyBorder="1" applyAlignment="1" applyProtection="1">
      <alignment horizontal="left" vertical="top" wrapText="1"/>
    </xf>
    <xf numFmtId="0" fontId="28" fillId="5" borderId="0" xfId="0" applyFont="1" applyFill="1" applyAlignment="1">
      <alignment horizontal="left" vertical="top" wrapText="1"/>
    </xf>
    <xf numFmtId="0" fontId="29" fillId="5" borderId="0" xfId="0" applyFont="1" applyFill="1" applyAlignment="1">
      <alignment horizontal="left" vertical="top" wrapText="1"/>
    </xf>
    <xf numFmtId="0" fontId="9" fillId="0" borderId="0" xfId="0" applyFont="1" applyAlignment="1">
      <alignment horizontal="left" vertical="top" wrapText="1"/>
    </xf>
    <xf numFmtId="0" fontId="29" fillId="0" borderId="0" xfId="0" applyFont="1" applyAlignment="1">
      <alignment horizontal="left" vertical="top" wrapText="1"/>
    </xf>
    <xf numFmtId="0" fontId="9" fillId="0" borderId="0" xfId="0" quotePrefix="1" applyFont="1" applyAlignment="1">
      <alignment horizontal="left" vertical="top" wrapText="1"/>
    </xf>
    <xf numFmtId="0" fontId="26" fillId="2" borderId="10" xfId="0" applyFont="1" applyFill="1" applyBorder="1" applyAlignment="1">
      <alignment horizontal="left" vertical="top" wrapText="1"/>
    </xf>
    <xf numFmtId="0" fontId="33" fillId="6" borderId="17" xfId="0" applyFont="1" applyFill="1" applyBorder="1" applyAlignment="1">
      <alignment horizontal="center" vertical="top" wrapText="1"/>
    </xf>
    <xf numFmtId="0" fontId="34" fillId="6" borderId="18" xfId="0" applyFont="1" applyFill="1" applyBorder="1" applyAlignment="1">
      <alignment horizontal="center" vertical="top" wrapText="1"/>
    </xf>
    <xf numFmtId="0" fontId="34" fillId="6" borderId="16" xfId="0" applyFont="1" applyFill="1" applyBorder="1" applyAlignment="1">
      <alignment horizontal="center" vertical="top" wrapText="1"/>
    </xf>
    <xf numFmtId="0" fontId="11" fillId="2" borderId="11" xfId="0" applyFont="1" applyFill="1" applyBorder="1" applyAlignment="1">
      <alignment horizontal="right" vertical="center" wrapText="1"/>
    </xf>
    <xf numFmtId="0" fontId="11" fillId="2" borderId="3" xfId="0" applyFont="1" applyFill="1" applyBorder="1" applyAlignment="1">
      <alignment horizontal="right" vertical="center" wrapText="1"/>
    </xf>
    <xf numFmtId="0" fontId="37" fillId="0" borderId="22" xfId="0" applyFont="1" applyBorder="1" applyAlignment="1">
      <alignment horizontal="right" vertical="center" wrapText="1"/>
    </xf>
    <xf numFmtId="0" fontId="37" fillId="0" borderId="18" xfId="0" applyFont="1" applyBorder="1" applyAlignment="1">
      <alignment horizontal="right" vertical="center" wrapText="1"/>
    </xf>
    <xf numFmtId="0" fontId="37" fillId="0" borderId="23" xfId="0" applyFont="1" applyBorder="1" applyAlignment="1">
      <alignment horizontal="right" vertical="center" wrapText="1"/>
    </xf>
  </cellXfs>
  <cellStyles count="3">
    <cellStyle name="Comma" xfId="1" builtinId="3"/>
    <cellStyle name="Hyperlink" xfId="2" builtinId="8"/>
    <cellStyle name="Normal" xfId="0" builtinId="0"/>
  </cellStyles>
  <dxfs count="0"/>
  <tableStyles count="0" defaultTableStyle="TableStyleMedium9" defaultPivotStyle="PivotStyleLight16"/>
  <colors>
    <mruColors>
      <color rgb="FFFFF2B3"/>
      <color rgb="FFFCBABC"/>
      <color rgb="FFD0EB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styles" Target="styles.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EMH%20--%2022-04-2024\BOQs\BOQs__PAK__KHI\EPCL__BOQs__PAK__KHI\MTQ-AA01101-ELE\Electrical%20Items%20List%20Rev-02%201%20(Power,%20Control,%20Fire%20&amp;%20Telecommunication%20Cable)%20by%20EMH%2023-OCT-2025.xlsx" TargetMode="External"/><Relationship Id="rId1" Type="http://schemas.openxmlformats.org/officeDocument/2006/relationships/externalLinkPath" Target="Electrical%20Items%20List%20Rev-02%201%20(Power,%20Control,%20Fire%20&amp;%20Telecommunication%20Cable)%20by%20EMH%2023-OCT-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E:\EMH%20--%2022-04-2024\BOQs\BOQs__PAK__KHI\EPCL__BOQs__PAK__KHI\MTQ-AA01101-ELE\Electrical%20Items%20List%20Rev-02%202%20(Conduit%20-%20Accessories)%20by%20EMH%2023-OCT-2025.xlsx" TargetMode="External"/><Relationship Id="rId1" Type="http://schemas.openxmlformats.org/officeDocument/2006/relationships/externalLinkPath" Target="Electrical%20Items%20List%20Rev-02%202%20(Conduit%20-%20Accessories)%20by%20EMH%2023-OCT-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E:\EMH%20--%2022-04-2024\BOQs\BOQs__PAK__KHI\EPCL__BOQs__PAK__KHI\MTQ-AA01101-ELE\Electrical%20Items%20List%20Rev-02%203%20(PVC,%20GI,%20MS%20material%20with%20accessories)%20by%20EMH%2023-OCT-2025.xlsx" TargetMode="External"/><Relationship Id="rId1" Type="http://schemas.openxmlformats.org/officeDocument/2006/relationships/externalLinkPath" Target="Electrical%20Items%20List%20Rev-02%203%20(PVC,%20GI,%20MS%20material%20with%20accessories)%20by%20EMH%2023-OCT-2025.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E:\EMH%20--%2022-04-2024\BOQs\BOQs__PAK__KHI\EPCL__BOQs__PAK__KHI\MTQ-AA01101-ELE\Electrical%20Items%20List%20Rev-02%204%20(Indoor-Outdoor-Emergency%20Lights)%20by%20EMH%2023-OCT-2025.xlsx" TargetMode="External"/><Relationship Id="rId1" Type="http://schemas.openxmlformats.org/officeDocument/2006/relationships/externalLinkPath" Target="Electrical%20Items%20List%20Rev-02%204%20(Indoor-Outdoor-Emergency%20Lights)%20by%20EMH%2023-OCT-202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E:\EMH%20--%2022-04-2024\BOQs\BOQs__PAK__KHI\EPCL__BOQs__PAK__KHI\MTQ-AA01101-ELE\Electrical%20Items%20List%20Rev-02%205%20(Switches%20&amp;%20Sockets)%20by%20EMH%2023-OCT-2025.xlsx" TargetMode="External"/><Relationship Id="rId1" Type="http://schemas.openxmlformats.org/officeDocument/2006/relationships/externalLinkPath" Target="Electrical%20Items%20List%20Rev-02%205%20(Switches%20&amp;%20Sockets)%20by%20EMH%2023-OCT-2025.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E:\EMH%20--%2022-04-2024\BOQs\BOQs__PAK__KHI\EPCL__BOQs__PAK__KHI\MTQ-AA01101-ELE\Electrical%20Items%20List%20Rev-02%206%20(Fans)%20by%20EMH%2023-OCT-2025.xlsx" TargetMode="External"/><Relationship Id="rId1" Type="http://schemas.openxmlformats.org/officeDocument/2006/relationships/externalLinkPath" Target="Electrical%20Items%20List%20Rev-02%206%20(Fans)%20by%20EMH%2023-OCT-2025.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E:\EMH%20--%2022-04-2024\BOQs\BOQs__PAK__KHI\EPCL__BOQs__PAK__KHI\MTQ-AA01101-ELE\Electrical%20Items%20List%20Rev-02%207%20(Power%20Recepticles)%20by%20EMH%2023-OCT-2025.xlsx" TargetMode="External"/><Relationship Id="rId1" Type="http://schemas.openxmlformats.org/officeDocument/2006/relationships/externalLinkPath" Target="Electrical%20Items%20List%20Rev-02%207%20(Power%20Recepticles)%20by%20EMH%2023-OCT-2025.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E:\EMH%20--%2022-04-2024\BOQs\BOQs__PAK__KHI\EPCL__BOQs__PAK__KHI\MTQ-AA01101-ELE\Electrical%20Items%20List%20Rev-02%208.1%20(Batteries)%20by%20EMH%2023-OCT-2025.xlsx" TargetMode="External"/><Relationship Id="rId1" Type="http://schemas.openxmlformats.org/officeDocument/2006/relationships/externalLinkPath" Target="Electrical%20Items%20List%20Rev-02%208.1%20(Batteries)%20by%20EMH%2023-OCT-2025.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E:\EMH%20--%2022-04-2024\BOQs\BOQs__PAK__KHI\EPCL__BOQs__PAK__KHI\MTQ-AA01101-ELE\Electrical%20Items%20List%20Rev-02%208%20(Fire%20alarm%20system)%20by%20EMH%2023-OCT-2025.xlsx" TargetMode="External"/><Relationship Id="rId1" Type="http://schemas.openxmlformats.org/officeDocument/2006/relationships/externalLinkPath" Target="Electrical%20Items%20List%20Rev-02%208%20(Fire%20alarm%20system)%20by%20EMH%2023-OCT-2025.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E:\EMH%20--%2022-04-2024\BOQs\BOQs__PAK__KHI\EPCL__BOQs__PAK__KHI\MTQ-AA01101-ELE\Electrical%20Items%20List%20Rev-02%209%20(Panel%20&amp;%20other%20accessories)%20by%20EMH%2023-OCT-2025.xlsx" TargetMode="External"/><Relationship Id="rId1" Type="http://schemas.openxmlformats.org/officeDocument/2006/relationships/externalLinkPath" Target="Electrical%20Items%20List%20Rev-02%209%20(Panel%20&amp;%20other%20accessories)%20by%20EMH%2023-OCT-2025.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E:\EMH%20--%2022-04-2024\BOQs\BOQs__PAK__KHI\EPCL__BOQs__PAK__KHI\MTQ-AA01101-ELE\Electrical%20Items%20List%20Rev-02%2010%20(Classified%20area%20items)%20by%20EMH%2023-OCT-2025.xlsx" TargetMode="External"/><Relationship Id="rId1" Type="http://schemas.openxmlformats.org/officeDocument/2006/relationships/externalLinkPath" Target="Electrical%20Items%20List%20Rev-02%2010%20(Classified%20area%20items)%20by%20EMH%2023-OCT-2025.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E:\EMH%20--%2022-04-2024\BOQs\BOQs__PAK__KHI\EPCL__BOQs__PAK__KHI\MTQ-AA01101-ELE\Electrical%20Items%20List%20Rev-02%2011%20(Grounding%20works)%20by%20EMH%2023-OCT-2025.xlsx" TargetMode="External"/><Relationship Id="rId1" Type="http://schemas.openxmlformats.org/officeDocument/2006/relationships/externalLinkPath" Target="Electrical%20Items%20List%20Rev-02%2011%20(Grounding%20works)%20by%20EMH%2023-OCT-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1"/>
      <sheetName val="Sheet1"/>
    </sheetNames>
    <sheetDataSet>
      <sheetData sheetId="0">
        <row r="11">
          <cell r="E11">
            <v>342.61111111111109</v>
          </cell>
          <cell r="N11">
            <v>411.49222222222221</v>
          </cell>
          <cell r="W11">
            <v>378.78</v>
          </cell>
        </row>
        <row r="12">
          <cell r="E12">
            <v>846.66666666666663</v>
          </cell>
          <cell r="N12">
            <v>1082.4533333333334</v>
          </cell>
          <cell r="W12">
            <v>990.02</v>
          </cell>
        </row>
        <row r="13">
          <cell r="E13">
            <v>1323.1666666666667</v>
          </cell>
          <cell r="N13">
            <v>0</v>
          </cell>
          <cell r="W13">
            <v>1556.42</v>
          </cell>
        </row>
        <row r="14">
          <cell r="E14">
            <v>2531.5</v>
          </cell>
          <cell r="N14">
            <v>0</v>
          </cell>
          <cell r="W14">
            <v>3056.2</v>
          </cell>
        </row>
        <row r="15">
          <cell r="E15">
            <v>3625.9444444444443</v>
          </cell>
          <cell r="N15">
            <v>0</v>
          </cell>
          <cell r="W15">
            <v>4264.5200000000004</v>
          </cell>
        </row>
        <row r="16">
          <cell r="E16">
            <v>399.16666666666669</v>
          </cell>
          <cell r="N16">
            <v>496.58333333333331</v>
          </cell>
          <cell r="W16">
            <v>349.28</v>
          </cell>
        </row>
        <row r="17">
          <cell r="E17">
            <v>585.33333333333337</v>
          </cell>
          <cell r="N17">
            <v>715.5913333333333</v>
          </cell>
          <cell r="W17">
            <v>578.20000000000005</v>
          </cell>
        </row>
        <row r="18">
          <cell r="E18">
            <v>877.16666666666663</v>
          </cell>
          <cell r="N18">
            <v>1053.163111111111</v>
          </cell>
          <cell r="W18">
            <v>896.8</v>
          </cell>
        </row>
        <row r="19">
          <cell r="E19">
            <v>1263.4444444444443</v>
          </cell>
          <cell r="N19">
            <v>1507.9088888888889</v>
          </cell>
          <cell r="W19">
            <v>1274.4000000000001</v>
          </cell>
        </row>
        <row r="20">
          <cell r="E20">
            <v>754.94444444444446</v>
          </cell>
          <cell r="N20">
            <v>906.69888888888886</v>
          </cell>
          <cell r="W20">
            <v>741.04</v>
          </cell>
        </row>
        <row r="21">
          <cell r="E21">
            <v>1142.2222222222222</v>
          </cell>
          <cell r="N21">
            <v>1362.8344444444442</v>
          </cell>
          <cell r="W21">
            <v>1156.4000000000001</v>
          </cell>
        </row>
        <row r="22">
          <cell r="E22">
            <v>1637.6666666666667</v>
          </cell>
          <cell r="N22">
            <v>1958.4722222222222</v>
          </cell>
          <cell r="W22">
            <v>1646.1</v>
          </cell>
        </row>
        <row r="23">
          <cell r="E23">
            <v>2685.5555555555557</v>
          </cell>
          <cell r="N23">
            <v>3311.565111111111</v>
          </cell>
          <cell r="W23">
            <v>2714</v>
          </cell>
        </row>
        <row r="24">
          <cell r="E24">
            <v>0</v>
          </cell>
          <cell r="N24">
            <v>0</v>
          </cell>
          <cell r="W24">
            <v>4190.18</v>
          </cell>
        </row>
        <row r="25">
          <cell r="E25">
            <v>0</v>
          </cell>
          <cell r="N25">
            <v>0</v>
          </cell>
          <cell r="W25">
            <v>5215.6000000000004</v>
          </cell>
        </row>
        <row r="26">
          <cell r="E26">
            <v>0</v>
          </cell>
          <cell r="N26">
            <v>0</v>
          </cell>
          <cell r="W26">
            <v>8006.3</v>
          </cell>
        </row>
        <row r="27">
          <cell r="E27">
            <v>0</v>
          </cell>
          <cell r="N27">
            <v>0</v>
          </cell>
          <cell r="W27">
            <v>1411.28</v>
          </cell>
        </row>
        <row r="28">
          <cell r="E28">
            <v>0</v>
          </cell>
          <cell r="N28">
            <v>0</v>
          </cell>
          <cell r="W28">
            <v>2043.76</v>
          </cell>
        </row>
        <row r="29">
          <cell r="E29">
            <v>0</v>
          </cell>
          <cell r="N29">
            <v>0</v>
          </cell>
          <cell r="W29">
            <v>3187.18</v>
          </cell>
        </row>
        <row r="30">
          <cell r="E30">
            <v>0</v>
          </cell>
          <cell r="N30">
            <v>0</v>
          </cell>
          <cell r="W30">
            <v>5215.6000000000004</v>
          </cell>
        </row>
        <row r="31">
          <cell r="E31">
            <v>261.66666666666669</v>
          </cell>
          <cell r="N31">
            <v>361.2766666666667</v>
          </cell>
          <cell r="W31">
            <v>272.58</v>
          </cell>
        </row>
        <row r="32">
          <cell r="E32">
            <v>432.61111111111109</v>
          </cell>
          <cell r="N32">
            <v>530.05600000000004</v>
          </cell>
          <cell r="W32">
            <v>377.6</v>
          </cell>
        </row>
        <row r="33">
          <cell r="E33">
            <v>867.72222222222217</v>
          </cell>
          <cell r="N33">
            <v>995.97244444444448</v>
          </cell>
          <cell r="W33">
            <v>802.4</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1"/>
      <sheetName val="Sheet1"/>
    </sheetNames>
    <sheetDataSet>
      <sheetData sheetId="0">
        <row r="11">
          <cell r="E11">
            <v>226.56</v>
          </cell>
          <cell r="N11">
            <v>200.6</v>
          </cell>
          <cell r="W11">
            <v>254.88</v>
          </cell>
        </row>
        <row r="12">
          <cell r="E12">
            <v>272.58</v>
          </cell>
          <cell r="N12">
            <v>306.8</v>
          </cell>
          <cell r="W12">
            <v>348.1</v>
          </cell>
        </row>
        <row r="13">
          <cell r="E13">
            <v>181.72</v>
          </cell>
          <cell r="N13">
            <v>413</v>
          </cell>
          <cell r="W13">
            <v>483.8</v>
          </cell>
        </row>
        <row r="14">
          <cell r="E14">
            <v>309.15999999999997</v>
          </cell>
          <cell r="N14">
            <v>649</v>
          </cell>
          <cell r="W14">
            <v>706.81999999999994</v>
          </cell>
        </row>
        <row r="15">
          <cell r="E15">
            <v>538.08000000000004</v>
          </cell>
          <cell r="N15">
            <v>885</v>
          </cell>
          <cell r="W15">
            <v>1008.9</v>
          </cell>
        </row>
        <row r="16">
          <cell r="E16">
            <v>188.8</v>
          </cell>
          <cell r="N16">
            <v>118</v>
          </cell>
          <cell r="W16">
            <v>135.69999999999999</v>
          </cell>
        </row>
        <row r="17">
          <cell r="E17">
            <v>47.2</v>
          </cell>
          <cell r="N17">
            <v>47.2</v>
          </cell>
          <cell r="W17">
            <v>49.56</v>
          </cell>
        </row>
        <row r="18">
          <cell r="E18">
            <v>70.8</v>
          </cell>
          <cell r="N18">
            <v>70.8</v>
          </cell>
          <cell r="W18">
            <v>66.08</v>
          </cell>
        </row>
        <row r="19">
          <cell r="E19">
            <v>64.900000000000006</v>
          </cell>
          <cell r="N19">
            <v>64.900000000000006</v>
          </cell>
          <cell r="W19">
            <v>56.64</v>
          </cell>
        </row>
        <row r="20">
          <cell r="E20">
            <v>94.4</v>
          </cell>
          <cell r="N20">
            <v>82.6</v>
          </cell>
          <cell r="W20">
            <v>80.239999999999995</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1"/>
      <sheetName val="Sheet1"/>
    </sheetNames>
    <sheetDataSet>
      <sheetData sheetId="0">
        <row r="11">
          <cell r="E11">
            <v>295</v>
          </cell>
          <cell r="N11">
            <v>708</v>
          </cell>
          <cell r="W11">
            <v>459.02</v>
          </cell>
        </row>
        <row r="12">
          <cell r="E12">
            <v>885</v>
          </cell>
          <cell r="N12">
            <v>2360</v>
          </cell>
          <cell r="W12">
            <v>1453.76</v>
          </cell>
        </row>
        <row r="13">
          <cell r="E13">
            <v>1770</v>
          </cell>
          <cell r="N13">
            <v>4720</v>
          </cell>
          <cell r="W13">
            <v>2050.84</v>
          </cell>
        </row>
        <row r="14">
          <cell r="E14">
            <v>141.6</v>
          </cell>
          <cell r="N14">
            <v>0</v>
          </cell>
          <cell r="W14">
            <v>0</v>
          </cell>
        </row>
        <row r="15">
          <cell r="E15">
            <v>413</v>
          </cell>
          <cell r="N15">
            <v>0</v>
          </cell>
          <cell r="W15">
            <v>0</v>
          </cell>
        </row>
        <row r="16">
          <cell r="E16">
            <v>590</v>
          </cell>
          <cell r="N16">
            <v>0</v>
          </cell>
          <cell r="W16">
            <v>0</v>
          </cell>
        </row>
        <row r="17">
          <cell r="E17">
            <v>1947</v>
          </cell>
          <cell r="N17">
            <v>0</v>
          </cell>
          <cell r="W17">
            <v>0</v>
          </cell>
        </row>
        <row r="18">
          <cell r="E18">
            <v>708</v>
          </cell>
          <cell r="N18">
            <v>0</v>
          </cell>
          <cell r="W18">
            <v>0</v>
          </cell>
        </row>
        <row r="19">
          <cell r="E19">
            <v>295</v>
          </cell>
          <cell r="N19">
            <v>0</v>
          </cell>
          <cell r="W19">
            <v>0</v>
          </cell>
        </row>
        <row r="20">
          <cell r="E20">
            <v>118</v>
          </cell>
          <cell r="N20">
            <v>0</v>
          </cell>
          <cell r="W20">
            <v>0</v>
          </cell>
        </row>
        <row r="21">
          <cell r="E21">
            <v>153.4</v>
          </cell>
          <cell r="N21">
            <v>0</v>
          </cell>
          <cell r="W21">
            <v>0</v>
          </cell>
        </row>
        <row r="22">
          <cell r="E22">
            <v>590</v>
          </cell>
          <cell r="N22">
            <v>0</v>
          </cell>
          <cell r="W22">
            <v>0</v>
          </cell>
        </row>
        <row r="23">
          <cell r="E23">
            <v>354</v>
          </cell>
          <cell r="N23">
            <v>0</v>
          </cell>
          <cell r="W23">
            <v>0</v>
          </cell>
        </row>
        <row r="24">
          <cell r="E24">
            <v>531</v>
          </cell>
          <cell r="N24">
            <v>0</v>
          </cell>
          <cell r="W24">
            <v>0</v>
          </cell>
        </row>
        <row r="26">
          <cell r="E26">
            <v>2360</v>
          </cell>
          <cell r="N26">
            <v>0</v>
          </cell>
          <cell r="W26">
            <v>0</v>
          </cell>
        </row>
        <row r="27">
          <cell r="E27">
            <v>41.3</v>
          </cell>
          <cell r="N27">
            <v>0</v>
          </cell>
          <cell r="W27">
            <v>0</v>
          </cell>
        </row>
        <row r="28">
          <cell r="E28">
            <v>53.1</v>
          </cell>
          <cell r="N28">
            <v>0</v>
          </cell>
          <cell r="W28">
            <v>0</v>
          </cell>
        </row>
        <row r="29">
          <cell r="E29">
            <v>30.68</v>
          </cell>
          <cell r="N29">
            <v>0</v>
          </cell>
          <cell r="W29">
            <v>0</v>
          </cell>
        </row>
        <row r="31">
          <cell r="E31">
            <v>1705.1</v>
          </cell>
          <cell r="N31">
            <v>0</v>
          </cell>
          <cell r="W31">
            <v>0</v>
          </cell>
        </row>
        <row r="32">
          <cell r="E32">
            <v>2449.6799999999998</v>
          </cell>
          <cell r="N32">
            <v>0</v>
          </cell>
          <cell r="W32">
            <v>0</v>
          </cell>
        </row>
        <row r="33">
          <cell r="E33">
            <v>3001.92</v>
          </cell>
          <cell r="N33">
            <v>0</v>
          </cell>
          <cell r="W33">
            <v>0</v>
          </cell>
        </row>
        <row r="34">
          <cell r="E34">
            <v>29481.119999999999</v>
          </cell>
          <cell r="N34">
            <v>0</v>
          </cell>
          <cell r="W34">
            <v>0</v>
          </cell>
        </row>
        <row r="35">
          <cell r="E35">
            <v>17696.46</v>
          </cell>
          <cell r="N35">
            <v>0</v>
          </cell>
          <cell r="W35">
            <v>0</v>
          </cell>
        </row>
        <row r="36">
          <cell r="E36">
            <v>10273.08</v>
          </cell>
          <cell r="N36">
            <v>0</v>
          </cell>
          <cell r="W36">
            <v>0</v>
          </cell>
        </row>
        <row r="38">
          <cell r="E38">
            <v>59000</v>
          </cell>
          <cell r="N38">
            <v>0</v>
          </cell>
          <cell r="W38">
            <v>0</v>
          </cell>
        </row>
        <row r="39">
          <cell r="E39">
            <v>47200</v>
          </cell>
          <cell r="N39">
            <v>0</v>
          </cell>
          <cell r="W39">
            <v>0</v>
          </cell>
        </row>
      </sheetData>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1"/>
      <sheetName val="Sheet1"/>
    </sheetNames>
    <sheetDataSet>
      <sheetData sheetId="0">
        <row r="11">
          <cell r="E11">
            <v>0</v>
          </cell>
          <cell r="N11">
            <v>212.4</v>
          </cell>
          <cell r="Z11">
            <v>236</v>
          </cell>
        </row>
        <row r="12">
          <cell r="E12">
            <v>672.6</v>
          </cell>
          <cell r="N12">
            <v>354</v>
          </cell>
          <cell r="Z12">
            <v>472</v>
          </cell>
        </row>
        <row r="13">
          <cell r="E13">
            <v>1563.5</v>
          </cell>
          <cell r="N13">
            <v>649</v>
          </cell>
          <cell r="Z13">
            <v>826</v>
          </cell>
        </row>
        <row r="14">
          <cell r="E14">
            <v>0</v>
          </cell>
          <cell r="N14">
            <v>1770</v>
          </cell>
          <cell r="Z14">
            <v>1770</v>
          </cell>
        </row>
        <row r="15">
          <cell r="E15">
            <v>118</v>
          </cell>
          <cell r="N15">
            <v>94.4</v>
          </cell>
          <cell r="Z15">
            <v>0</v>
          </cell>
        </row>
        <row r="16">
          <cell r="E16">
            <v>0</v>
          </cell>
          <cell r="N16">
            <v>0</v>
          </cell>
          <cell r="Z16">
            <v>5310</v>
          </cell>
        </row>
        <row r="17">
          <cell r="E17">
            <v>944</v>
          </cell>
          <cell r="N17">
            <v>0</v>
          </cell>
          <cell r="Z17">
            <v>885</v>
          </cell>
        </row>
        <row r="18">
          <cell r="E18">
            <v>920.4</v>
          </cell>
          <cell r="N18">
            <v>0</v>
          </cell>
          <cell r="Z18">
            <v>767</v>
          </cell>
        </row>
        <row r="19">
          <cell r="E19">
            <v>1062</v>
          </cell>
          <cell r="N19">
            <v>0</v>
          </cell>
          <cell r="Z19">
            <v>1180</v>
          </cell>
        </row>
        <row r="20">
          <cell r="E20">
            <v>76.7</v>
          </cell>
          <cell r="N20">
            <v>0</v>
          </cell>
          <cell r="Z20">
            <v>0</v>
          </cell>
        </row>
        <row r="21">
          <cell r="E21">
            <v>0</v>
          </cell>
          <cell r="N21">
            <v>2360</v>
          </cell>
          <cell r="Z21">
            <v>0</v>
          </cell>
        </row>
        <row r="22">
          <cell r="E22">
            <v>613.6</v>
          </cell>
          <cell r="N22">
            <v>0</v>
          </cell>
          <cell r="Z22">
            <v>0</v>
          </cell>
        </row>
        <row r="23">
          <cell r="E23">
            <v>1829</v>
          </cell>
          <cell r="N23">
            <v>885</v>
          </cell>
          <cell r="Z23">
            <v>0</v>
          </cell>
        </row>
        <row r="24">
          <cell r="E24">
            <v>2773</v>
          </cell>
          <cell r="N24">
            <v>0</v>
          </cell>
          <cell r="Z24">
            <v>0</v>
          </cell>
        </row>
        <row r="25">
          <cell r="E25">
            <v>0</v>
          </cell>
          <cell r="N25">
            <v>2478</v>
          </cell>
          <cell r="Z25">
            <v>0</v>
          </cell>
        </row>
        <row r="26">
          <cell r="E26">
            <v>0</v>
          </cell>
          <cell r="N26">
            <v>6254</v>
          </cell>
          <cell r="Z26">
            <v>0</v>
          </cell>
        </row>
        <row r="27">
          <cell r="E27">
            <v>0</v>
          </cell>
          <cell r="N27">
            <v>6844</v>
          </cell>
          <cell r="Z27">
            <v>0</v>
          </cell>
        </row>
        <row r="28">
          <cell r="E28">
            <v>0</v>
          </cell>
          <cell r="N28">
            <v>0</v>
          </cell>
          <cell r="Z28">
            <v>0</v>
          </cell>
        </row>
        <row r="29">
          <cell r="E29">
            <v>0</v>
          </cell>
          <cell r="N29">
            <v>0</v>
          </cell>
          <cell r="Z29">
            <v>0</v>
          </cell>
        </row>
        <row r="30">
          <cell r="E30">
            <v>0</v>
          </cell>
          <cell r="N30">
            <v>826</v>
          </cell>
          <cell r="Z30">
            <v>0</v>
          </cell>
        </row>
        <row r="31">
          <cell r="E31">
            <v>0</v>
          </cell>
          <cell r="N31">
            <v>0</v>
          </cell>
          <cell r="Z31">
            <v>0</v>
          </cell>
        </row>
        <row r="32">
          <cell r="E32">
            <v>0</v>
          </cell>
          <cell r="N32">
            <v>0</v>
          </cell>
          <cell r="Z32">
            <v>0</v>
          </cell>
        </row>
        <row r="33">
          <cell r="E33">
            <v>0</v>
          </cell>
          <cell r="N33">
            <v>9617</v>
          </cell>
          <cell r="Z33">
            <v>23600</v>
          </cell>
        </row>
        <row r="34">
          <cell r="E34">
            <v>0</v>
          </cell>
          <cell r="N34">
            <v>11682</v>
          </cell>
          <cell r="Z34">
            <v>47200</v>
          </cell>
        </row>
        <row r="35">
          <cell r="E35">
            <v>14278</v>
          </cell>
          <cell r="N35">
            <v>4130</v>
          </cell>
          <cell r="Z35">
            <v>5664</v>
          </cell>
        </row>
        <row r="36">
          <cell r="E36">
            <v>30975</v>
          </cell>
          <cell r="N36">
            <v>5428</v>
          </cell>
          <cell r="Z36">
            <v>17700</v>
          </cell>
        </row>
        <row r="37">
          <cell r="E37">
            <v>0</v>
          </cell>
          <cell r="N37">
            <v>6844</v>
          </cell>
          <cell r="Z37">
            <v>41300</v>
          </cell>
        </row>
        <row r="38">
          <cell r="E38">
            <v>0</v>
          </cell>
          <cell r="N38">
            <v>0</v>
          </cell>
          <cell r="Z38">
            <v>0</v>
          </cell>
        </row>
        <row r="39">
          <cell r="E39">
            <v>0</v>
          </cell>
          <cell r="N39">
            <v>23010</v>
          </cell>
          <cell r="Z39">
            <v>0</v>
          </cell>
        </row>
        <row r="40">
          <cell r="E40">
            <v>0</v>
          </cell>
          <cell r="N40">
            <v>0</v>
          </cell>
          <cell r="Z40">
            <v>0</v>
          </cell>
        </row>
        <row r="41">
          <cell r="E41">
            <v>0</v>
          </cell>
          <cell r="N41">
            <v>0</v>
          </cell>
          <cell r="Z41">
            <v>0</v>
          </cell>
        </row>
        <row r="42">
          <cell r="E42">
            <v>0</v>
          </cell>
          <cell r="N42">
            <v>5900</v>
          </cell>
          <cell r="Z42">
            <v>0</v>
          </cell>
        </row>
        <row r="43">
          <cell r="E43">
            <v>0</v>
          </cell>
          <cell r="N43">
            <v>0</v>
          </cell>
          <cell r="Z43">
            <v>0</v>
          </cell>
        </row>
        <row r="44">
          <cell r="E44">
            <v>0</v>
          </cell>
          <cell r="N44">
            <v>0</v>
          </cell>
          <cell r="Z44">
            <v>0</v>
          </cell>
        </row>
        <row r="45">
          <cell r="E45">
            <v>0</v>
          </cell>
          <cell r="N45">
            <v>4130</v>
          </cell>
          <cell r="Z45">
            <v>5310</v>
          </cell>
        </row>
        <row r="46">
          <cell r="E46">
            <v>0</v>
          </cell>
          <cell r="N46">
            <v>11918</v>
          </cell>
          <cell r="Z46">
            <v>0</v>
          </cell>
        </row>
        <row r="47">
          <cell r="E47">
            <v>0</v>
          </cell>
          <cell r="N47">
            <v>0</v>
          </cell>
          <cell r="Z47">
            <v>53100</v>
          </cell>
        </row>
      </sheetData>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1"/>
      <sheetName val="Sheet1"/>
    </sheetNames>
    <sheetDataSet>
      <sheetData sheetId="0">
        <row r="11">
          <cell r="E11">
            <v>649</v>
          </cell>
          <cell r="N11">
            <v>442.5</v>
          </cell>
          <cell r="W11">
            <v>0</v>
          </cell>
        </row>
        <row r="12">
          <cell r="E12">
            <v>1003</v>
          </cell>
          <cell r="N12">
            <v>531</v>
          </cell>
          <cell r="W12">
            <v>0</v>
          </cell>
        </row>
        <row r="13">
          <cell r="E13">
            <v>1604.8</v>
          </cell>
          <cell r="N13">
            <v>637.20000000000005</v>
          </cell>
          <cell r="W13">
            <v>0</v>
          </cell>
        </row>
        <row r="14">
          <cell r="E14">
            <v>2348.1999999999998</v>
          </cell>
          <cell r="N14">
            <v>778.8</v>
          </cell>
          <cell r="W14">
            <v>0</v>
          </cell>
        </row>
        <row r="15">
          <cell r="E15">
            <v>3835</v>
          </cell>
          <cell r="N15">
            <v>1168.2</v>
          </cell>
          <cell r="W15">
            <v>0</v>
          </cell>
        </row>
        <row r="16">
          <cell r="E16">
            <v>1711</v>
          </cell>
          <cell r="N16">
            <v>1534</v>
          </cell>
          <cell r="W16">
            <v>0</v>
          </cell>
        </row>
        <row r="17">
          <cell r="E17">
            <v>1309.8</v>
          </cell>
          <cell r="N17">
            <v>1298</v>
          </cell>
          <cell r="W17">
            <v>0</v>
          </cell>
        </row>
        <row r="18">
          <cell r="E18">
            <v>1180</v>
          </cell>
          <cell r="N18">
            <v>1003</v>
          </cell>
          <cell r="W18">
            <v>0</v>
          </cell>
        </row>
        <row r="19">
          <cell r="E19">
            <v>0</v>
          </cell>
          <cell r="N19">
            <v>590</v>
          </cell>
          <cell r="W19">
            <v>0</v>
          </cell>
        </row>
        <row r="20">
          <cell r="E20">
            <v>1268.5</v>
          </cell>
          <cell r="N20">
            <v>1062</v>
          </cell>
          <cell r="W20">
            <v>0</v>
          </cell>
        </row>
      </sheetData>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1"/>
    </sheetNames>
    <sheetDataSet>
      <sheetData sheetId="0">
        <row r="11">
          <cell r="E11">
            <v>5540.1</v>
          </cell>
          <cell r="N11">
            <v>5841</v>
          </cell>
          <cell r="W11">
            <v>5321.8</v>
          </cell>
        </row>
        <row r="12">
          <cell r="E12">
            <v>6838.1</v>
          </cell>
          <cell r="N12">
            <v>7434</v>
          </cell>
          <cell r="W12">
            <v>6572.6</v>
          </cell>
        </row>
        <row r="13">
          <cell r="E13">
            <v>11440.1</v>
          </cell>
          <cell r="N13">
            <v>12095</v>
          </cell>
          <cell r="W13">
            <v>10856</v>
          </cell>
        </row>
        <row r="14">
          <cell r="E14">
            <v>14272.1</v>
          </cell>
          <cell r="N14">
            <v>14514</v>
          </cell>
          <cell r="W14">
            <v>13334</v>
          </cell>
        </row>
        <row r="15">
          <cell r="E15">
            <v>5658.1</v>
          </cell>
          <cell r="N15">
            <v>5782</v>
          </cell>
          <cell r="W15">
            <v>5475.2</v>
          </cell>
        </row>
        <row r="16">
          <cell r="E16">
            <v>5894.1</v>
          </cell>
          <cell r="N16">
            <v>6018</v>
          </cell>
          <cell r="W16">
            <v>5593.2</v>
          </cell>
        </row>
        <row r="17">
          <cell r="E17">
            <v>6248.1</v>
          </cell>
          <cell r="N17">
            <v>6372</v>
          </cell>
          <cell r="W17">
            <v>6159.6</v>
          </cell>
        </row>
        <row r="18">
          <cell r="E18">
            <v>11794.1</v>
          </cell>
          <cell r="N18">
            <v>11210</v>
          </cell>
          <cell r="W18">
            <v>11811.8</v>
          </cell>
        </row>
        <row r="19">
          <cell r="E19">
            <v>15334.1</v>
          </cell>
          <cell r="N19">
            <v>21712</v>
          </cell>
          <cell r="W19">
            <v>14413.7</v>
          </cell>
        </row>
        <row r="20">
          <cell r="E20">
            <v>9552.1</v>
          </cell>
          <cell r="N20">
            <v>10620</v>
          </cell>
          <cell r="W20">
            <v>9263</v>
          </cell>
        </row>
        <row r="21">
          <cell r="E21">
            <v>9988.7000000000007</v>
          </cell>
          <cell r="N21">
            <v>14632</v>
          </cell>
          <cell r="W21">
            <v>0</v>
          </cell>
        </row>
        <row r="22">
          <cell r="E22">
            <v>17700</v>
          </cell>
          <cell r="N22">
            <v>20060</v>
          </cell>
          <cell r="W22">
            <v>17163.099999999999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1"/>
      <sheetName val="Sheet1"/>
    </sheetNames>
    <sheetDataSet>
      <sheetData sheetId="0">
        <row r="11">
          <cell r="E11">
            <v>1062</v>
          </cell>
          <cell r="N11">
            <v>3186</v>
          </cell>
          <cell r="W11">
            <v>0</v>
          </cell>
        </row>
        <row r="12">
          <cell r="E12">
            <v>1976.5</v>
          </cell>
          <cell r="N12">
            <v>3540</v>
          </cell>
          <cell r="W12">
            <v>0</v>
          </cell>
        </row>
        <row r="13">
          <cell r="E13">
            <v>1062</v>
          </cell>
          <cell r="N13">
            <v>2548.8000000000002</v>
          </cell>
          <cell r="W13">
            <v>0</v>
          </cell>
        </row>
        <row r="14">
          <cell r="E14">
            <v>1976.5</v>
          </cell>
          <cell r="N14">
            <v>3186</v>
          </cell>
          <cell r="W14">
            <v>0</v>
          </cell>
        </row>
        <row r="15">
          <cell r="E15">
            <v>1475</v>
          </cell>
          <cell r="N15">
            <v>3186</v>
          </cell>
          <cell r="W15">
            <v>0</v>
          </cell>
        </row>
        <row r="16">
          <cell r="E16">
            <v>2183</v>
          </cell>
          <cell r="N16">
            <v>3540</v>
          </cell>
          <cell r="W16">
            <v>0</v>
          </cell>
        </row>
        <row r="17">
          <cell r="E17">
            <v>1770</v>
          </cell>
          <cell r="N17">
            <v>3186</v>
          </cell>
          <cell r="W17">
            <v>0</v>
          </cell>
        </row>
        <row r="18">
          <cell r="E18">
            <v>2183</v>
          </cell>
          <cell r="N18">
            <v>3540</v>
          </cell>
          <cell r="W18">
            <v>0</v>
          </cell>
        </row>
        <row r="19">
          <cell r="E19">
            <v>1062</v>
          </cell>
          <cell r="N19">
            <v>1003</v>
          </cell>
          <cell r="W19">
            <v>885</v>
          </cell>
        </row>
        <row r="20">
          <cell r="E20">
            <v>1475</v>
          </cell>
          <cell r="N20">
            <v>1298</v>
          </cell>
          <cell r="W20">
            <v>1416</v>
          </cell>
        </row>
      </sheetData>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1"/>
      <sheetName val="Sheet1"/>
    </sheetNames>
    <sheetDataSet>
      <sheetData sheetId="0">
        <row r="11">
          <cell r="E11">
            <v>4248</v>
          </cell>
          <cell r="N11">
            <v>4543</v>
          </cell>
          <cell r="W11">
            <v>0</v>
          </cell>
        </row>
        <row r="12">
          <cell r="E12">
            <v>6136</v>
          </cell>
          <cell r="N12">
            <v>0</v>
          </cell>
          <cell r="W12">
            <v>6490</v>
          </cell>
        </row>
      </sheetData>
      <sheetData sheetId="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1"/>
    </sheetNames>
    <sheetDataSet>
      <sheetData sheetId="0">
        <row r="11">
          <cell r="J11">
            <v>41300</v>
          </cell>
          <cell r="N11">
            <v>44840</v>
          </cell>
          <cell r="V11">
            <v>64900</v>
          </cell>
          <cell r="AF11">
            <v>31687.767000000003</v>
          </cell>
        </row>
        <row r="12">
          <cell r="J12">
            <v>53100</v>
          </cell>
          <cell r="N12">
            <v>61360</v>
          </cell>
          <cell r="V12">
            <v>88500</v>
          </cell>
          <cell r="AF12">
            <v>44263.476000000002</v>
          </cell>
        </row>
        <row r="13">
          <cell r="J13">
            <v>2950</v>
          </cell>
          <cell r="N13">
            <v>3540</v>
          </cell>
          <cell r="V13">
            <v>4130</v>
          </cell>
          <cell r="AF13">
            <v>3267.1260000000002</v>
          </cell>
        </row>
        <row r="14">
          <cell r="J14">
            <v>2950</v>
          </cell>
          <cell r="N14">
            <v>3540</v>
          </cell>
          <cell r="V14">
            <v>4130</v>
          </cell>
          <cell r="AF14">
            <v>3057.4259999999999</v>
          </cell>
        </row>
        <row r="15">
          <cell r="J15">
            <v>2596</v>
          </cell>
          <cell r="N15">
            <v>2714</v>
          </cell>
          <cell r="V15">
            <v>4130</v>
          </cell>
          <cell r="AF15">
            <v>3541.8329999999996</v>
          </cell>
        </row>
        <row r="16">
          <cell r="J16">
            <v>0</v>
          </cell>
          <cell r="N16">
            <v>4484</v>
          </cell>
          <cell r="V16">
            <v>9440</v>
          </cell>
          <cell r="AF16">
            <v>733.95</v>
          </cell>
        </row>
        <row r="17">
          <cell r="J17">
            <v>3304</v>
          </cell>
          <cell r="N17">
            <v>6490</v>
          </cell>
          <cell r="V17">
            <v>8260</v>
          </cell>
          <cell r="AF17">
            <v>1929.24</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1"/>
      <sheetName val="Sheet1"/>
    </sheetNames>
    <sheetDataSet>
      <sheetData sheetId="0">
        <row r="11">
          <cell r="E11">
            <v>649</v>
          </cell>
          <cell r="H11">
            <v>2242</v>
          </cell>
          <cell r="K11">
            <v>0</v>
          </cell>
        </row>
        <row r="12">
          <cell r="E12">
            <v>4012</v>
          </cell>
          <cell r="H12">
            <v>4720</v>
          </cell>
          <cell r="K12">
            <v>0</v>
          </cell>
        </row>
        <row r="13">
          <cell r="E13">
            <v>2183</v>
          </cell>
          <cell r="H13">
            <v>0</v>
          </cell>
          <cell r="K13">
            <v>0</v>
          </cell>
        </row>
        <row r="14">
          <cell r="E14">
            <v>5310</v>
          </cell>
          <cell r="H14">
            <v>0</v>
          </cell>
          <cell r="K14">
            <v>0</v>
          </cell>
        </row>
        <row r="15">
          <cell r="E15">
            <v>13570</v>
          </cell>
          <cell r="H15">
            <v>0</v>
          </cell>
          <cell r="K15">
            <v>0</v>
          </cell>
        </row>
        <row r="16">
          <cell r="E16">
            <v>15930</v>
          </cell>
          <cell r="H16">
            <v>0</v>
          </cell>
          <cell r="K16">
            <v>0</v>
          </cell>
        </row>
        <row r="17">
          <cell r="E17">
            <v>4956</v>
          </cell>
          <cell r="H17">
            <v>4720</v>
          </cell>
          <cell r="K17">
            <v>0</v>
          </cell>
        </row>
        <row r="18">
          <cell r="E18">
            <v>7552</v>
          </cell>
          <cell r="H18">
            <v>10620</v>
          </cell>
          <cell r="K18">
            <v>0</v>
          </cell>
        </row>
        <row r="19">
          <cell r="E19">
            <v>33630</v>
          </cell>
          <cell r="H19">
            <v>27730</v>
          </cell>
          <cell r="K19">
            <v>0</v>
          </cell>
        </row>
        <row r="20">
          <cell r="E20">
            <v>106.2</v>
          </cell>
          <cell r="H20">
            <v>200.6</v>
          </cell>
          <cell r="K20">
            <v>0</v>
          </cell>
        </row>
        <row r="21">
          <cell r="E21">
            <v>3540</v>
          </cell>
          <cell r="H21">
            <v>2950</v>
          </cell>
          <cell r="K21">
            <v>0</v>
          </cell>
        </row>
        <row r="22">
          <cell r="E22">
            <v>1416</v>
          </cell>
          <cell r="H22">
            <v>0</v>
          </cell>
          <cell r="K22">
            <v>0</v>
          </cell>
        </row>
        <row r="23">
          <cell r="E23">
            <v>59</v>
          </cell>
          <cell r="H23">
            <v>0</v>
          </cell>
          <cell r="K23">
            <v>0</v>
          </cell>
        </row>
        <row r="24">
          <cell r="E24">
            <v>316.7983682983683</v>
          </cell>
          <cell r="H24">
            <v>0</v>
          </cell>
          <cell r="K24">
            <v>0</v>
          </cell>
        </row>
      </sheetData>
      <sheetData sheetId="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1"/>
      <sheetName val="Sheet1"/>
    </sheetNames>
    <sheetDataSet>
      <sheetData sheetId="0">
        <row r="11">
          <cell r="E11">
            <v>0</v>
          </cell>
          <cell r="N11">
            <v>5310</v>
          </cell>
          <cell r="W11">
            <v>0</v>
          </cell>
        </row>
        <row r="12">
          <cell r="E12">
            <v>0</v>
          </cell>
          <cell r="N12">
            <v>6490</v>
          </cell>
          <cell r="W12">
            <v>0</v>
          </cell>
        </row>
        <row r="13">
          <cell r="E13">
            <v>0</v>
          </cell>
          <cell r="N13">
            <v>8260</v>
          </cell>
          <cell r="W13">
            <v>0</v>
          </cell>
        </row>
        <row r="14">
          <cell r="E14">
            <v>0</v>
          </cell>
          <cell r="N14">
            <v>0</v>
          </cell>
          <cell r="W14">
            <v>0</v>
          </cell>
        </row>
      </sheetData>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1"/>
      <sheetName val="Sheet1"/>
    </sheetNames>
    <sheetDataSet>
      <sheetData sheetId="0">
        <row r="11">
          <cell r="C11">
            <v>19500</v>
          </cell>
          <cell r="N11">
            <v>0</v>
          </cell>
          <cell r="W11">
            <v>0</v>
          </cell>
        </row>
        <row r="12">
          <cell r="C12">
            <v>2800</v>
          </cell>
          <cell r="N12">
            <v>0</v>
          </cell>
          <cell r="W12">
            <v>0</v>
          </cell>
        </row>
        <row r="13">
          <cell r="C13">
            <v>697</v>
          </cell>
          <cell r="N13">
            <v>0</v>
          </cell>
          <cell r="W13">
            <v>0</v>
          </cell>
        </row>
        <row r="14">
          <cell r="C14">
            <v>44500</v>
          </cell>
          <cell r="N14">
            <v>0</v>
          </cell>
          <cell r="W14">
            <v>0</v>
          </cell>
        </row>
        <row r="15">
          <cell r="C15">
            <v>1500</v>
          </cell>
          <cell r="N15">
            <v>0</v>
          </cell>
          <cell r="W15">
            <v>0</v>
          </cell>
        </row>
        <row r="16">
          <cell r="C16">
            <v>5100</v>
          </cell>
          <cell r="N16">
            <v>0</v>
          </cell>
          <cell r="W16">
            <v>0</v>
          </cell>
        </row>
        <row r="17">
          <cell r="C17">
            <v>14500</v>
          </cell>
          <cell r="N17">
            <v>0</v>
          </cell>
          <cell r="W17">
            <v>0</v>
          </cell>
        </row>
        <row r="18">
          <cell r="C18"/>
          <cell r="N18"/>
          <cell r="W18"/>
        </row>
        <row r="19">
          <cell r="C19">
            <v>0</v>
          </cell>
          <cell r="N19">
            <v>0</v>
          </cell>
          <cell r="W19">
            <v>0</v>
          </cell>
        </row>
        <row r="20">
          <cell r="C20">
            <v>10500</v>
          </cell>
          <cell r="N20">
            <v>0</v>
          </cell>
          <cell r="W20">
            <v>0</v>
          </cell>
        </row>
        <row r="21">
          <cell r="C21">
            <v>10800</v>
          </cell>
          <cell r="N21">
            <v>0</v>
          </cell>
          <cell r="W21">
            <v>0</v>
          </cell>
        </row>
        <row r="22">
          <cell r="C22">
            <v>22800</v>
          </cell>
          <cell r="N22">
            <v>0</v>
          </cell>
          <cell r="W22">
            <v>0</v>
          </cell>
        </row>
      </sheetData>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m.huzefa@mytecheng.com" TargetMode="External"/><Relationship Id="rId1" Type="http://schemas.openxmlformats.org/officeDocument/2006/relationships/hyperlink" Target="mailto:munawar.hasan@mytecheng.com" TargetMode="Externa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0"/>
  <sheetViews>
    <sheetView tabSelected="1" view="pageBreakPreview" zoomScale="85" zoomScaleNormal="70" zoomScaleSheetLayoutView="85" zoomScalePageLayoutView="70" workbookViewId="0">
      <selection activeCell="A4" sqref="A4"/>
    </sheetView>
  </sheetViews>
  <sheetFormatPr defaultColWidth="9.33203125" defaultRowHeight="12.7" x14ac:dyDescent="0.25"/>
  <cols>
    <col min="1" max="1" width="16.6640625" style="2" bestFit="1" customWidth="1"/>
    <col min="2" max="2" width="85.33203125" style="1" customWidth="1"/>
    <col min="3" max="3" width="13.109375" style="1" customWidth="1"/>
    <col min="4" max="4" width="13.5546875" style="1" customWidth="1"/>
    <col min="5" max="6" width="20.33203125" style="1" bestFit="1" customWidth="1"/>
    <col min="7" max="7" width="21.33203125" style="1" bestFit="1" customWidth="1"/>
    <col min="8" max="8" width="21.33203125" style="1" customWidth="1"/>
    <col min="9" max="16384" width="9.33203125" style="1"/>
  </cols>
  <sheetData>
    <row r="1" spans="1:8" ht="21.9" x14ac:dyDescent="0.25">
      <c r="A1" s="27" t="s">
        <v>0</v>
      </c>
      <c r="B1" s="25"/>
      <c r="C1" s="25"/>
      <c r="D1" s="25"/>
      <c r="E1" s="17"/>
      <c r="F1" s="17"/>
      <c r="G1" s="17"/>
      <c r="H1" s="17"/>
    </row>
    <row r="2" spans="1:8" ht="21.9" x14ac:dyDescent="0.25">
      <c r="A2" s="27" t="s">
        <v>458</v>
      </c>
      <c r="B2" s="25"/>
      <c r="C2" s="25"/>
      <c r="D2" s="25"/>
      <c r="E2" s="17"/>
      <c r="F2" s="17"/>
      <c r="G2" s="17"/>
      <c r="H2" s="17"/>
    </row>
    <row r="3" spans="1:8" ht="21.9" x14ac:dyDescent="0.25">
      <c r="A3" s="27" t="s">
        <v>459</v>
      </c>
      <c r="B3" s="25"/>
      <c r="C3" s="91" t="s">
        <v>456</v>
      </c>
      <c r="D3" s="91"/>
      <c r="E3" s="91"/>
      <c r="F3" s="91"/>
      <c r="G3" s="91"/>
      <c r="H3" s="91"/>
    </row>
    <row r="4" spans="1:8" ht="21.9" x14ac:dyDescent="0.25">
      <c r="A4" s="27" t="s">
        <v>68</v>
      </c>
      <c r="B4" s="25"/>
      <c r="C4" s="91" t="s">
        <v>95</v>
      </c>
      <c r="D4" s="91"/>
      <c r="E4" s="91"/>
      <c r="F4" s="91"/>
      <c r="G4" s="91"/>
      <c r="H4" s="91"/>
    </row>
    <row r="5" spans="1:8" ht="22.5" thickBot="1" x14ac:dyDescent="0.3">
      <c r="A5" s="28" t="s">
        <v>67</v>
      </c>
      <c r="B5" s="26"/>
      <c r="C5" s="92" t="s">
        <v>457</v>
      </c>
      <c r="D5" s="92"/>
      <c r="E5" s="92"/>
      <c r="F5" s="92"/>
      <c r="G5" s="92"/>
      <c r="H5" s="92"/>
    </row>
    <row r="6" spans="1:8" ht="17.3" customHeight="1" x14ac:dyDescent="0.25">
      <c r="A6" s="80" t="s">
        <v>94</v>
      </c>
      <c r="B6" s="81"/>
      <c r="C6" s="81"/>
      <c r="D6" s="81"/>
      <c r="E6" s="81"/>
      <c r="F6" s="81"/>
      <c r="G6" s="81"/>
      <c r="H6" s="82"/>
    </row>
    <row r="7" spans="1:8" ht="17.3" customHeight="1" thickBot="1" x14ac:dyDescent="0.3">
      <c r="A7" s="83"/>
      <c r="B7" s="84"/>
      <c r="C7" s="84"/>
      <c r="D7" s="84"/>
      <c r="E7" s="84"/>
      <c r="F7" s="84"/>
      <c r="G7" s="84"/>
      <c r="H7" s="85"/>
    </row>
    <row r="8" spans="1:8" ht="35.15" thickBot="1" x14ac:dyDescent="0.3">
      <c r="A8" s="13" t="s">
        <v>1</v>
      </c>
      <c r="B8" s="14" t="s">
        <v>2</v>
      </c>
      <c r="C8" s="14" t="s">
        <v>3</v>
      </c>
      <c r="D8" s="14" t="s">
        <v>4</v>
      </c>
      <c r="E8" s="14" t="s">
        <v>69</v>
      </c>
      <c r="F8" s="14" t="s">
        <v>70</v>
      </c>
      <c r="G8" s="14" t="s">
        <v>71</v>
      </c>
      <c r="H8" s="15" t="s">
        <v>29</v>
      </c>
    </row>
    <row r="9" spans="1:8" ht="14.4" thickBot="1" x14ac:dyDescent="0.3">
      <c r="A9" s="7"/>
      <c r="B9" s="93"/>
      <c r="C9" s="94"/>
      <c r="D9" s="94"/>
      <c r="E9" s="94"/>
      <c r="F9" s="94"/>
      <c r="G9" s="94"/>
      <c r="H9" s="95"/>
    </row>
    <row r="10" spans="1:8" ht="20.75" thickBot="1" x14ac:dyDescent="0.3">
      <c r="A10" s="78" t="s">
        <v>26</v>
      </c>
      <c r="B10" s="96" t="s">
        <v>55</v>
      </c>
      <c r="C10" s="97"/>
      <c r="D10" s="98"/>
      <c r="E10" s="24" t="s">
        <v>61</v>
      </c>
      <c r="F10" s="24" t="s">
        <v>59</v>
      </c>
      <c r="G10" s="24" t="s">
        <v>60</v>
      </c>
      <c r="H10" s="24"/>
    </row>
    <row r="11" spans="1:8" ht="18.45" x14ac:dyDescent="0.25">
      <c r="A11" s="10" t="s">
        <v>27</v>
      </c>
      <c r="B11" s="11" t="s">
        <v>72</v>
      </c>
      <c r="C11" s="22">
        <v>1</v>
      </c>
      <c r="D11" s="21" t="s">
        <v>57</v>
      </c>
      <c r="E11" s="40">
        <f>'[1]Sheet 1'!$E11*115%*130%</f>
        <v>512.20361111111106</v>
      </c>
      <c r="F11" s="41">
        <f>'[1]Sheet 1'!$N11*115%*130%</f>
        <v>615.18087222222221</v>
      </c>
      <c r="G11" s="42">
        <f>'[1]Sheet 1'!$W11*115%*130%</f>
        <v>566.27609999999993</v>
      </c>
      <c r="H11" s="12"/>
    </row>
    <row r="12" spans="1:8" ht="18.45" x14ac:dyDescent="0.25">
      <c r="A12" s="10" t="s">
        <v>28</v>
      </c>
      <c r="B12" s="11" t="s">
        <v>73</v>
      </c>
      <c r="C12" s="22">
        <v>1</v>
      </c>
      <c r="D12" s="21" t="s">
        <v>57</v>
      </c>
      <c r="E12" s="40">
        <f>'[1]Sheet 1'!$E12*115%*130%</f>
        <v>1265.7666666666664</v>
      </c>
      <c r="F12" s="41">
        <f>'[1]Sheet 1'!$N12*115%*130%</f>
        <v>1618.2677333333334</v>
      </c>
      <c r="G12" s="42">
        <f>'[1]Sheet 1'!$W12*115%*130%</f>
        <v>1480.0799</v>
      </c>
      <c r="H12" s="12"/>
    </row>
    <row r="13" spans="1:8" ht="18.45" x14ac:dyDescent="0.25">
      <c r="A13" s="10" t="s">
        <v>34</v>
      </c>
      <c r="B13" s="11" t="s">
        <v>74</v>
      </c>
      <c r="C13" s="22">
        <v>1</v>
      </c>
      <c r="D13" s="21" t="s">
        <v>57</v>
      </c>
      <c r="E13" s="40">
        <f>'[1]Sheet 1'!$E13*115%*130%</f>
        <v>1978.1341666666667</v>
      </c>
      <c r="F13" s="41">
        <f>'[1]Sheet 1'!$N13*115%*130%</f>
        <v>0</v>
      </c>
      <c r="G13" s="42">
        <f>'[1]Sheet 1'!$W13*115%*130%</f>
        <v>2326.8479000000002</v>
      </c>
      <c r="H13" s="12"/>
    </row>
    <row r="14" spans="1:8" ht="18.45" x14ac:dyDescent="0.25">
      <c r="A14" s="10" t="s">
        <v>35</v>
      </c>
      <c r="B14" s="9" t="s">
        <v>75</v>
      </c>
      <c r="C14" s="22">
        <v>1</v>
      </c>
      <c r="D14" s="21" t="s">
        <v>57</v>
      </c>
      <c r="E14" s="40">
        <f>'[1]Sheet 1'!$E14*115%*130%</f>
        <v>3784.5925000000002</v>
      </c>
      <c r="F14" s="41">
        <f>'[1]Sheet 1'!$N14*115%*130%</f>
        <v>0</v>
      </c>
      <c r="G14" s="42">
        <f>'[1]Sheet 1'!$W14*115%*130%</f>
        <v>4569.0189999999993</v>
      </c>
      <c r="H14" s="12"/>
    </row>
    <row r="15" spans="1:8" ht="18.45" x14ac:dyDescent="0.25">
      <c r="A15" s="10" t="s">
        <v>36</v>
      </c>
      <c r="B15" s="11" t="s">
        <v>76</v>
      </c>
      <c r="C15" s="22">
        <v>1</v>
      </c>
      <c r="D15" s="21" t="s">
        <v>57</v>
      </c>
      <c r="E15" s="40">
        <f>'[1]Sheet 1'!$E15*115%*130%</f>
        <v>5420.7869444444441</v>
      </c>
      <c r="F15" s="41">
        <f>'[1]Sheet 1'!$N15*115%*130%</f>
        <v>0</v>
      </c>
      <c r="G15" s="42">
        <f>'[1]Sheet 1'!$W15*115%*130%</f>
        <v>6375.4574000000002</v>
      </c>
      <c r="H15" s="12"/>
    </row>
    <row r="16" spans="1:8" ht="18.45" x14ac:dyDescent="0.25">
      <c r="A16" s="10" t="s">
        <v>40</v>
      </c>
      <c r="B16" s="11" t="s">
        <v>77</v>
      </c>
      <c r="C16" s="22">
        <v>1</v>
      </c>
      <c r="D16" s="21" t="s">
        <v>57</v>
      </c>
      <c r="E16" s="40">
        <f>'[1]Sheet 1'!$E16*115%*130%</f>
        <v>596.75416666666661</v>
      </c>
      <c r="F16" s="41">
        <f>'[1]Sheet 1'!$N16*115%*130%</f>
        <v>742.39208333333318</v>
      </c>
      <c r="G16" s="42">
        <f>'[1]Sheet 1'!$W16*115%*130%</f>
        <v>522.17359999999985</v>
      </c>
      <c r="H16" s="12"/>
    </row>
    <row r="17" spans="1:8" ht="18.45" x14ac:dyDescent="0.25">
      <c r="A17" s="10" t="s">
        <v>37</v>
      </c>
      <c r="B17" s="11" t="s">
        <v>78</v>
      </c>
      <c r="C17" s="22">
        <v>1</v>
      </c>
      <c r="D17" s="21" t="s">
        <v>57</v>
      </c>
      <c r="E17" s="40">
        <f>'[1]Sheet 1'!$E17*115%*130%</f>
        <v>875.07333333333338</v>
      </c>
      <c r="F17" s="41">
        <f>'[1]Sheet 1'!$N17*115%*130%</f>
        <v>1069.8090433333332</v>
      </c>
      <c r="G17" s="42">
        <f>'[1]Sheet 1'!$W17*115%*130%</f>
        <v>864.40899999999999</v>
      </c>
      <c r="H17" s="12"/>
    </row>
    <row r="18" spans="1:8" ht="18.45" x14ac:dyDescent="0.25">
      <c r="A18" s="10" t="s">
        <v>38</v>
      </c>
      <c r="B18" s="11" t="s">
        <v>79</v>
      </c>
      <c r="C18" s="22">
        <v>1</v>
      </c>
      <c r="D18" s="21" t="s">
        <v>57</v>
      </c>
      <c r="E18" s="40">
        <f>'[1]Sheet 1'!$E18*115%*130%</f>
        <v>1311.3641666666665</v>
      </c>
      <c r="F18" s="41">
        <f>'[1]Sheet 1'!$N18*115%*130%</f>
        <v>1574.4788511111108</v>
      </c>
      <c r="G18" s="42">
        <f>'[1]Sheet 1'!$W18*115%*130%</f>
        <v>1340.7159999999999</v>
      </c>
      <c r="H18" s="12"/>
    </row>
    <row r="19" spans="1:8" ht="18.45" x14ac:dyDescent="0.25">
      <c r="A19" s="10" t="s">
        <v>39</v>
      </c>
      <c r="B19" s="11" t="s">
        <v>80</v>
      </c>
      <c r="C19" s="22">
        <v>1</v>
      </c>
      <c r="D19" s="21" t="s">
        <v>57</v>
      </c>
      <c r="E19" s="40">
        <f>'[1]Sheet 1'!$E19*115%*130%</f>
        <v>1888.8494444444443</v>
      </c>
      <c r="F19" s="41">
        <f>'[1]Sheet 1'!$N19*115%*130%</f>
        <v>2254.3237888888889</v>
      </c>
      <c r="G19" s="42">
        <f>'[1]Sheet 1'!$W19*115%*130%</f>
        <v>1905.2280000000001</v>
      </c>
      <c r="H19" s="12"/>
    </row>
    <row r="20" spans="1:8" ht="18.45" x14ac:dyDescent="0.25">
      <c r="A20" s="10" t="s">
        <v>41</v>
      </c>
      <c r="B20" s="11" t="s">
        <v>81</v>
      </c>
      <c r="C20" s="22">
        <v>1</v>
      </c>
      <c r="D20" s="21" t="s">
        <v>57</v>
      </c>
      <c r="E20" s="40">
        <f>'[1]Sheet 1'!$E20*115%*130%</f>
        <v>1128.6419444444443</v>
      </c>
      <c r="F20" s="41">
        <f>'[1]Sheet 1'!$N20*115%*130%</f>
        <v>1355.5148388888888</v>
      </c>
      <c r="G20" s="42">
        <f>'[1]Sheet 1'!$W20*115%*130%</f>
        <v>1107.8547999999998</v>
      </c>
      <c r="H20" s="12"/>
    </row>
    <row r="21" spans="1:8" ht="18.45" x14ac:dyDescent="0.25">
      <c r="A21" s="10" t="s">
        <v>42</v>
      </c>
      <c r="B21" s="11" t="s">
        <v>82</v>
      </c>
      <c r="C21" s="22">
        <v>1</v>
      </c>
      <c r="D21" s="21" t="s">
        <v>57</v>
      </c>
      <c r="E21" s="40">
        <f>'[1]Sheet 1'!$E21*115%*130%</f>
        <v>1707.622222222222</v>
      </c>
      <c r="F21" s="41">
        <f>'[1]Sheet 1'!$N21*115%*130%</f>
        <v>2037.4374944444439</v>
      </c>
      <c r="G21" s="42">
        <f>'[1]Sheet 1'!$W21*115%*130%</f>
        <v>1728.818</v>
      </c>
      <c r="H21" s="12"/>
    </row>
    <row r="22" spans="1:8" ht="18.45" x14ac:dyDescent="0.25">
      <c r="A22" s="10" t="s">
        <v>43</v>
      </c>
      <c r="B22" s="11" t="s">
        <v>83</v>
      </c>
      <c r="C22" s="22">
        <v>1</v>
      </c>
      <c r="D22" s="21" t="s">
        <v>57</v>
      </c>
      <c r="E22" s="40">
        <f>'[1]Sheet 1'!$E22*115%*130%</f>
        <v>2448.3116666666665</v>
      </c>
      <c r="F22" s="41">
        <f>'[1]Sheet 1'!$N22*115%*130%</f>
        <v>2927.9159722222221</v>
      </c>
      <c r="G22" s="42">
        <f>'[1]Sheet 1'!$W22*115%*130%</f>
        <v>2460.9194999999995</v>
      </c>
      <c r="H22" s="12"/>
    </row>
    <row r="23" spans="1:8" ht="18.45" x14ac:dyDescent="0.25">
      <c r="A23" s="10" t="s">
        <v>44</v>
      </c>
      <c r="B23" s="11" t="s">
        <v>84</v>
      </c>
      <c r="C23" s="22">
        <v>1</v>
      </c>
      <c r="D23" s="21" t="s">
        <v>57</v>
      </c>
      <c r="E23" s="40">
        <f>'[1]Sheet 1'!$E23*115%*130%</f>
        <v>4014.9055555555556</v>
      </c>
      <c r="F23" s="41">
        <f>'[1]Sheet 1'!$N23*115%*130%</f>
        <v>4950.7898411111109</v>
      </c>
      <c r="G23" s="42">
        <f>'[1]Sheet 1'!$W23*115%*130%</f>
        <v>4057.43</v>
      </c>
      <c r="H23" s="12"/>
    </row>
    <row r="24" spans="1:8" ht="18.45" x14ac:dyDescent="0.25">
      <c r="A24" s="10" t="s">
        <v>45</v>
      </c>
      <c r="B24" s="11" t="s">
        <v>85</v>
      </c>
      <c r="C24" s="22">
        <v>1</v>
      </c>
      <c r="D24" s="21" t="s">
        <v>57</v>
      </c>
      <c r="E24" s="40">
        <f>'[1]Sheet 1'!$E24*115%*130%</f>
        <v>0</v>
      </c>
      <c r="F24" s="41">
        <f>'[1]Sheet 1'!$N24*115%*130%</f>
        <v>0</v>
      </c>
      <c r="G24" s="42">
        <f>'[1]Sheet 1'!$W24*115%*130%</f>
        <v>6264.3191000000006</v>
      </c>
      <c r="H24" s="12"/>
    </row>
    <row r="25" spans="1:8" ht="18.45" x14ac:dyDescent="0.25">
      <c r="A25" s="10" t="s">
        <v>46</v>
      </c>
      <c r="B25" s="11" t="s">
        <v>86</v>
      </c>
      <c r="C25" s="22">
        <v>1</v>
      </c>
      <c r="D25" s="21" t="s">
        <v>57</v>
      </c>
      <c r="E25" s="40">
        <f>'[1]Sheet 1'!$E25*115%*130%</f>
        <v>0</v>
      </c>
      <c r="F25" s="41">
        <f>'[1]Sheet 1'!$N25*115%*130%</f>
        <v>0</v>
      </c>
      <c r="G25" s="42">
        <f>'[1]Sheet 1'!$W25*115%*130%</f>
        <v>7797.3220000000001</v>
      </c>
      <c r="H25" s="12"/>
    </row>
    <row r="26" spans="1:8" ht="18.45" x14ac:dyDescent="0.25">
      <c r="A26" s="10" t="s">
        <v>47</v>
      </c>
      <c r="B26" s="11" t="s">
        <v>87</v>
      </c>
      <c r="C26" s="22">
        <v>1</v>
      </c>
      <c r="D26" s="21" t="s">
        <v>57</v>
      </c>
      <c r="E26" s="40">
        <f>'[1]Sheet 1'!$E26*115%*130%</f>
        <v>0</v>
      </c>
      <c r="F26" s="41">
        <f>'[1]Sheet 1'!$N26*115%*130%</f>
        <v>0</v>
      </c>
      <c r="G26" s="42">
        <f>'[1]Sheet 1'!$W26*115%*130%</f>
        <v>11969.4185</v>
      </c>
      <c r="H26" s="12"/>
    </row>
    <row r="27" spans="1:8" ht="18.45" x14ac:dyDescent="0.25">
      <c r="A27" s="10" t="s">
        <v>48</v>
      </c>
      <c r="B27" s="11" t="s">
        <v>88</v>
      </c>
      <c r="C27" s="22">
        <v>1</v>
      </c>
      <c r="D27" s="21" t="s">
        <v>57</v>
      </c>
      <c r="E27" s="40">
        <f>'[1]Sheet 1'!$E27*115%*130%</f>
        <v>0</v>
      </c>
      <c r="F27" s="41">
        <f>'[1]Sheet 1'!$N27*115%*130%</f>
        <v>0</v>
      </c>
      <c r="G27" s="42">
        <f>'[1]Sheet 1'!$W27*115%*130%</f>
        <v>2109.8635999999997</v>
      </c>
      <c r="H27" s="12"/>
    </row>
    <row r="28" spans="1:8" ht="18.45" x14ac:dyDescent="0.25">
      <c r="A28" s="10" t="s">
        <v>49</v>
      </c>
      <c r="B28" s="11" t="s">
        <v>89</v>
      </c>
      <c r="C28" s="22">
        <v>1</v>
      </c>
      <c r="D28" s="21" t="s">
        <v>57</v>
      </c>
      <c r="E28" s="40">
        <f>'[1]Sheet 1'!$E28*115%*130%</f>
        <v>0</v>
      </c>
      <c r="F28" s="41">
        <f>'[1]Sheet 1'!$N28*115%*130%</f>
        <v>0</v>
      </c>
      <c r="G28" s="42">
        <f>'[1]Sheet 1'!$W28*115%*130%</f>
        <v>3055.4211999999998</v>
      </c>
      <c r="H28" s="12"/>
    </row>
    <row r="29" spans="1:8" ht="18.45" x14ac:dyDescent="0.25">
      <c r="A29" s="10" t="s">
        <v>50</v>
      </c>
      <c r="B29" s="11" t="s">
        <v>90</v>
      </c>
      <c r="C29" s="22">
        <v>1</v>
      </c>
      <c r="D29" s="21" t="s">
        <v>57</v>
      </c>
      <c r="E29" s="40">
        <f>'[1]Sheet 1'!$E29*115%*130%</f>
        <v>0</v>
      </c>
      <c r="F29" s="41">
        <f>'[1]Sheet 1'!$N29*115%*130%</f>
        <v>0</v>
      </c>
      <c r="G29" s="42">
        <f>'[1]Sheet 1'!$W29*115%*130%</f>
        <v>4764.8341</v>
      </c>
      <c r="H29" s="12"/>
    </row>
    <row r="30" spans="1:8" ht="18.45" x14ac:dyDescent="0.25">
      <c r="A30" s="10" t="s">
        <v>51</v>
      </c>
      <c r="B30" s="11" t="s">
        <v>86</v>
      </c>
      <c r="C30" s="22">
        <v>1</v>
      </c>
      <c r="D30" s="21" t="s">
        <v>57</v>
      </c>
      <c r="E30" s="40">
        <f>'[1]Sheet 1'!$E30*115%*130%</f>
        <v>0</v>
      </c>
      <c r="F30" s="41">
        <f>'[1]Sheet 1'!$N30*115%*130%</f>
        <v>0</v>
      </c>
      <c r="G30" s="42">
        <f>'[1]Sheet 1'!$W30*115%*130%</f>
        <v>7797.3220000000001</v>
      </c>
      <c r="H30" s="12"/>
    </row>
    <row r="31" spans="1:8" ht="18.45" x14ac:dyDescent="0.25">
      <c r="A31" s="10" t="s">
        <v>52</v>
      </c>
      <c r="B31" s="11" t="s">
        <v>91</v>
      </c>
      <c r="C31" s="22">
        <v>1</v>
      </c>
      <c r="D31" s="21" t="s">
        <v>57</v>
      </c>
      <c r="E31" s="40">
        <f>'[1]Sheet 1'!$E31*115%*130%</f>
        <v>391.19166666666672</v>
      </c>
      <c r="F31" s="41">
        <f>'[1]Sheet 1'!$N31*115%*130%</f>
        <v>540.10861666666665</v>
      </c>
      <c r="G31" s="42">
        <f>'[1]Sheet 1'!$W31*115%*130%</f>
        <v>407.50709999999998</v>
      </c>
      <c r="H31" s="12"/>
    </row>
    <row r="32" spans="1:8" ht="18.45" x14ac:dyDescent="0.25">
      <c r="A32" s="10" t="s">
        <v>53</v>
      </c>
      <c r="B32" s="11" t="s">
        <v>92</v>
      </c>
      <c r="C32" s="22">
        <v>1</v>
      </c>
      <c r="D32" s="21" t="s">
        <v>57</v>
      </c>
      <c r="E32" s="40">
        <f>'[1]Sheet 1'!$E32*115%*130%</f>
        <v>646.75361111111113</v>
      </c>
      <c r="F32" s="41">
        <f>'[1]Sheet 1'!$N32*115%*130%</f>
        <v>792.43371999999999</v>
      </c>
      <c r="G32" s="42">
        <f>'[1]Sheet 1'!$W32*115%*130%</f>
        <v>564.51200000000006</v>
      </c>
      <c r="H32" s="12"/>
    </row>
    <row r="33" spans="1:8" ht="19.05" thickBot="1" x14ac:dyDescent="0.3">
      <c r="A33" s="10" t="s">
        <v>54</v>
      </c>
      <c r="B33" s="70" t="s">
        <v>93</v>
      </c>
      <c r="C33" s="71">
        <v>1</v>
      </c>
      <c r="D33" s="72" t="s">
        <v>57</v>
      </c>
      <c r="E33" s="73">
        <f>'[1]Sheet 1'!$E33*115%*130%</f>
        <v>1297.2447222222222</v>
      </c>
      <c r="F33" s="74">
        <f>'[1]Sheet 1'!$N33*115%*130%</f>
        <v>1488.9788044444444</v>
      </c>
      <c r="G33" s="42">
        <f>'[1]Sheet 1'!$W33*115%*130%</f>
        <v>1199.588</v>
      </c>
      <c r="H33" s="75"/>
    </row>
    <row r="34" spans="1:8" ht="20.75" thickBot="1" x14ac:dyDescent="0.3">
      <c r="A34" s="3"/>
      <c r="B34" s="86" t="s">
        <v>132</v>
      </c>
      <c r="C34" s="87"/>
      <c r="D34" s="88"/>
      <c r="E34" s="45">
        <f>SUM(E11:E33)</f>
        <v>29268.196388888886</v>
      </c>
      <c r="F34" s="45">
        <f>SUM(F11:F33)</f>
        <v>21967.631660000003</v>
      </c>
      <c r="G34" s="45">
        <f>SUM(G11:G33)</f>
        <v>75235.336800000005</v>
      </c>
      <c r="H34" s="77"/>
    </row>
    <row r="35" spans="1:8" ht="17.850000000000001" hidden="1" thickBot="1" x14ac:dyDescent="0.3">
      <c r="A35" s="3"/>
      <c r="B35" s="119" t="s">
        <v>32</v>
      </c>
      <c r="C35" s="120"/>
      <c r="D35" s="76">
        <v>0.18</v>
      </c>
      <c r="E35" s="46">
        <f>E34*$D35</f>
        <v>5268.275349999999</v>
      </c>
      <c r="F35" s="46">
        <f>F34*$D35</f>
        <v>3954.1736988000002</v>
      </c>
      <c r="G35" s="46">
        <f>G34*$D35</f>
        <v>13542.360624000001</v>
      </c>
      <c r="H35" s="36"/>
    </row>
    <row r="36" spans="1:8" ht="17.850000000000001" hidden="1" thickBot="1" x14ac:dyDescent="0.3">
      <c r="A36" s="3"/>
      <c r="B36" s="89" t="s">
        <v>33</v>
      </c>
      <c r="C36" s="90"/>
      <c r="D36" s="99"/>
      <c r="E36" s="47">
        <f>E35+E34</f>
        <v>34536.471738888882</v>
      </c>
      <c r="F36" s="47">
        <f>F35+F34</f>
        <v>25921.805358800004</v>
      </c>
      <c r="G36" s="47">
        <f>G35+G34</f>
        <v>88777.697424000013</v>
      </c>
      <c r="H36" s="36"/>
    </row>
    <row r="37" spans="1:8" ht="17.850000000000001" hidden="1" thickBot="1" x14ac:dyDescent="0.3">
      <c r="A37" s="3"/>
      <c r="B37" s="89" t="s">
        <v>129</v>
      </c>
      <c r="C37" s="90"/>
      <c r="D37" s="44">
        <v>0.05</v>
      </c>
      <c r="E37" s="4">
        <f>E36*$D37</f>
        <v>1726.8235869444443</v>
      </c>
      <c r="F37" s="4">
        <f>F36*$D37</f>
        <v>1296.0902679400003</v>
      </c>
      <c r="G37" s="4">
        <f>G36*$D37</f>
        <v>4438.8848712000008</v>
      </c>
      <c r="H37" s="36"/>
    </row>
    <row r="38" spans="1:8" ht="20.75" hidden="1" thickBot="1" x14ac:dyDescent="0.3">
      <c r="A38" s="3"/>
      <c r="B38" s="86" t="s">
        <v>133</v>
      </c>
      <c r="C38" s="87"/>
      <c r="D38" s="88"/>
      <c r="E38" s="45">
        <f>E36-E37</f>
        <v>32809.648151944435</v>
      </c>
      <c r="F38" s="45">
        <f>F36-F37</f>
        <v>24625.715090860005</v>
      </c>
      <c r="G38" s="45">
        <f>G36-G37</f>
        <v>84338.812552800009</v>
      </c>
      <c r="H38" s="36"/>
    </row>
    <row r="39" spans="1:8" ht="19.05" thickBot="1" x14ac:dyDescent="0.3">
      <c r="A39" s="31"/>
      <c r="B39" s="32"/>
      <c r="C39" s="33"/>
      <c r="D39" s="33"/>
      <c r="E39" s="34"/>
      <c r="F39" s="34"/>
      <c r="G39" s="35"/>
      <c r="H39" s="36"/>
    </row>
    <row r="40" spans="1:8" ht="20.75" thickBot="1" x14ac:dyDescent="0.3">
      <c r="A40" s="78" t="s">
        <v>30</v>
      </c>
      <c r="B40" s="96" t="s">
        <v>97</v>
      </c>
      <c r="C40" s="97"/>
      <c r="D40" s="98"/>
      <c r="E40" s="24" t="s">
        <v>62</v>
      </c>
      <c r="F40" s="24" t="s">
        <v>63</v>
      </c>
      <c r="G40" s="24" t="s">
        <v>244</v>
      </c>
      <c r="H40" s="24"/>
    </row>
    <row r="41" spans="1:8" ht="18.45" x14ac:dyDescent="0.25">
      <c r="A41" s="10" t="s">
        <v>338</v>
      </c>
      <c r="B41" s="11" t="s">
        <v>134</v>
      </c>
      <c r="C41" s="22">
        <v>1</v>
      </c>
      <c r="D41" s="21" t="s">
        <v>57</v>
      </c>
      <c r="E41" s="40">
        <f>'[2]Sheet 1'!$E11*115%*130%</f>
        <v>338.7072</v>
      </c>
      <c r="F41" s="41">
        <f>'[2]Sheet 1'!$N11*115%*130%</f>
        <v>299.89699999999999</v>
      </c>
      <c r="G41" s="42">
        <f>'[2]Sheet 1'!$W11*115%*130%</f>
        <v>381.04559999999998</v>
      </c>
      <c r="H41" s="12"/>
    </row>
    <row r="42" spans="1:8" ht="18.45" x14ac:dyDescent="0.25">
      <c r="A42" s="10" t="s">
        <v>339</v>
      </c>
      <c r="B42" s="11" t="s">
        <v>135</v>
      </c>
      <c r="C42" s="22">
        <v>1</v>
      </c>
      <c r="D42" s="21" t="s">
        <v>57</v>
      </c>
      <c r="E42" s="40">
        <f>'[2]Sheet 1'!$E12*115%*130%</f>
        <v>407.50709999999998</v>
      </c>
      <c r="F42" s="41">
        <f>'[2]Sheet 1'!$N12*115%*130%</f>
        <v>458.666</v>
      </c>
      <c r="G42" s="42">
        <f>'[2]Sheet 1'!$W12*115%*130%</f>
        <v>520.40949999999998</v>
      </c>
      <c r="H42" s="12"/>
    </row>
    <row r="43" spans="1:8" ht="18.45" x14ac:dyDescent="0.25">
      <c r="A43" s="10" t="s">
        <v>340</v>
      </c>
      <c r="B43" s="11" t="s">
        <v>136</v>
      </c>
      <c r="C43" s="22">
        <v>1</v>
      </c>
      <c r="D43" s="21" t="s">
        <v>57</v>
      </c>
      <c r="E43" s="40">
        <f>'[2]Sheet 1'!$E13*115%*130%</f>
        <v>271.67140000000001</v>
      </c>
      <c r="F43" s="41">
        <f>'[2]Sheet 1'!$N13*115%*130%</f>
        <v>617.43500000000006</v>
      </c>
      <c r="G43" s="42">
        <f>'[2]Sheet 1'!$W13*115%*130%</f>
        <v>723.28100000000006</v>
      </c>
      <c r="H43" s="12"/>
    </row>
    <row r="44" spans="1:8" ht="18.45" x14ac:dyDescent="0.25">
      <c r="A44" s="10" t="s">
        <v>341</v>
      </c>
      <c r="B44" s="11" t="s">
        <v>137</v>
      </c>
      <c r="C44" s="22">
        <v>1</v>
      </c>
      <c r="D44" s="21" t="s">
        <v>57</v>
      </c>
      <c r="E44" s="40">
        <f>'[2]Sheet 1'!$E14*115%*130%</f>
        <v>462.19419999999991</v>
      </c>
      <c r="F44" s="41">
        <f>'[2]Sheet 1'!$N14*115%*130%</f>
        <v>970.25499999999988</v>
      </c>
      <c r="G44" s="42">
        <f>'[2]Sheet 1'!$W14*115%*130%</f>
        <v>1056.6958999999999</v>
      </c>
      <c r="H44" s="12"/>
    </row>
    <row r="45" spans="1:8" ht="18.45" x14ac:dyDescent="0.25">
      <c r="A45" s="10" t="s">
        <v>342</v>
      </c>
      <c r="B45" s="11" t="s">
        <v>138</v>
      </c>
      <c r="C45" s="22">
        <v>1</v>
      </c>
      <c r="D45" s="21" t="s">
        <v>57</v>
      </c>
      <c r="E45" s="40">
        <f>'[2]Sheet 1'!$E15*115%*130%</f>
        <v>804.42960000000005</v>
      </c>
      <c r="F45" s="41">
        <f>'[2]Sheet 1'!$N15*115%*130%</f>
        <v>1323.0749999999998</v>
      </c>
      <c r="G45" s="42">
        <f>'[2]Sheet 1'!$W15*115%*130%</f>
        <v>1508.3054999999999</v>
      </c>
      <c r="H45" s="12"/>
    </row>
    <row r="46" spans="1:8" ht="18.45" x14ac:dyDescent="0.25">
      <c r="A46" s="10" t="s">
        <v>343</v>
      </c>
      <c r="B46" s="11" t="s">
        <v>139</v>
      </c>
      <c r="C46" s="22">
        <v>1</v>
      </c>
      <c r="D46" s="21" t="s">
        <v>25</v>
      </c>
      <c r="E46" s="40">
        <f>'[2]Sheet 1'!$E16*115%*130%</f>
        <v>282.25600000000003</v>
      </c>
      <c r="F46" s="41">
        <f>'[2]Sheet 1'!$N16*115%*130%</f>
        <v>176.41</v>
      </c>
      <c r="G46" s="42">
        <f>'[2]Sheet 1'!$W16*115%*130%</f>
        <v>202.87149999999997</v>
      </c>
      <c r="H46" s="12"/>
    </row>
    <row r="47" spans="1:8" ht="18.45" x14ac:dyDescent="0.25">
      <c r="A47" s="10" t="s">
        <v>344</v>
      </c>
      <c r="B47" s="11" t="s">
        <v>140</v>
      </c>
      <c r="C47" s="22">
        <v>1</v>
      </c>
      <c r="D47" s="21" t="s">
        <v>57</v>
      </c>
      <c r="E47" s="40">
        <f>'[2]Sheet 1'!$E17*115%*130%</f>
        <v>70.564000000000007</v>
      </c>
      <c r="F47" s="41">
        <f>'[2]Sheet 1'!$N17*115%*130%</f>
        <v>70.564000000000007</v>
      </c>
      <c r="G47" s="42">
        <f>'[2]Sheet 1'!$W17*115%*130%</f>
        <v>74.092200000000005</v>
      </c>
      <c r="H47" s="12"/>
    </row>
    <row r="48" spans="1:8" ht="18.45" x14ac:dyDescent="0.25">
      <c r="A48" s="10" t="s">
        <v>345</v>
      </c>
      <c r="B48" s="11" t="s">
        <v>141</v>
      </c>
      <c r="C48" s="22">
        <v>1</v>
      </c>
      <c r="D48" s="21" t="s">
        <v>57</v>
      </c>
      <c r="E48" s="40">
        <f>'[2]Sheet 1'!$E18*115%*130%</f>
        <v>105.84599999999999</v>
      </c>
      <c r="F48" s="41">
        <f>'[2]Sheet 1'!$N18*115%*130%</f>
        <v>105.84599999999999</v>
      </c>
      <c r="G48" s="42">
        <f>'[2]Sheet 1'!$W18*115%*130%</f>
        <v>98.789599999999993</v>
      </c>
      <c r="H48" s="12"/>
    </row>
    <row r="49" spans="1:8" ht="18.45" x14ac:dyDescent="0.25">
      <c r="A49" s="10" t="s">
        <v>346</v>
      </c>
      <c r="B49" s="11" t="s">
        <v>142</v>
      </c>
      <c r="C49" s="22">
        <v>1</v>
      </c>
      <c r="D49" s="21" t="s">
        <v>57</v>
      </c>
      <c r="E49" s="40">
        <f>'[2]Sheet 1'!$E19*115%*130%</f>
        <v>97.025500000000008</v>
      </c>
      <c r="F49" s="41">
        <f>'[2]Sheet 1'!$N19*115%*130%</f>
        <v>97.025500000000008</v>
      </c>
      <c r="G49" s="42">
        <f>'[2]Sheet 1'!$W19*115%*130%</f>
        <v>84.6768</v>
      </c>
      <c r="H49" s="12"/>
    </row>
    <row r="50" spans="1:8" ht="19.05" thickBot="1" x14ac:dyDescent="0.3">
      <c r="A50" s="10" t="s">
        <v>347</v>
      </c>
      <c r="B50" s="70" t="s">
        <v>143</v>
      </c>
      <c r="C50" s="71">
        <v>1</v>
      </c>
      <c r="D50" s="72" t="s">
        <v>57</v>
      </c>
      <c r="E50" s="73">
        <f>'[2]Sheet 1'!$E20*115%*130%</f>
        <v>141.12800000000001</v>
      </c>
      <c r="F50" s="74">
        <f>'[2]Sheet 1'!$N20*115%*130%</f>
        <v>123.48699999999998</v>
      </c>
      <c r="G50" s="42">
        <f>'[2]Sheet 1'!$W20*115%*130%</f>
        <v>119.95879999999998</v>
      </c>
      <c r="H50" s="75"/>
    </row>
    <row r="51" spans="1:8" ht="20.75" thickBot="1" x14ac:dyDescent="0.3">
      <c r="A51" s="3"/>
      <c r="B51" s="86" t="s">
        <v>144</v>
      </c>
      <c r="C51" s="87"/>
      <c r="D51" s="88"/>
      <c r="E51" s="45">
        <f>SUM(E41:E50)</f>
        <v>2981.3290000000002</v>
      </c>
      <c r="F51" s="45">
        <f>SUM(F41:F50)</f>
        <v>4242.660499999999</v>
      </c>
      <c r="G51" s="45">
        <f>SUM(G41:G50)</f>
        <v>4770.1264000000001</v>
      </c>
      <c r="H51" s="77"/>
    </row>
    <row r="52" spans="1:8" ht="17.850000000000001" hidden="1" thickBot="1" x14ac:dyDescent="0.3">
      <c r="A52" s="3"/>
      <c r="B52" s="119" t="s">
        <v>32</v>
      </c>
      <c r="C52" s="120"/>
      <c r="D52" s="76">
        <v>0.18</v>
      </c>
      <c r="E52" s="46">
        <f>E51*$D52</f>
        <v>536.63922000000002</v>
      </c>
      <c r="F52" s="46">
        <f>F51*$D52</f>
        <v>763.6788899999998</v>
      </c>
      <c r="G52" s="46">
        <f>G51*$D52</f>
        <v>858.62275199999999</v>
      </c>
      <c r="H52" s="36"/>
    </row>
    <row r="53" spans="1:8" ht="17.850000000000001" hidden="1" thickBot="1" x14ac:dyDescent="0.3">
      <c r="A53" s="3"/>
      <c r="B53" s="89" t="s">
        <v>33</v>
      </c>
      <c r="C53" s="90"/>
      <c r="D53" s="99"/>
      <c r="E53" s="47">
        <f>E52+E51</f>
        <v>3517.9682200000002</v>
      </c>
      <c r="F53" s="47">
        <f>F52+F51</f>
        <v>5006.3393899999992</v>
      </c>
      <c r="G53" s="47">
        <f>G52+G51</f>
        <v>5628.7491520000003</v>
      </c>
      <c r="H53" s="36"/>
    </row>
    <row r="54" spans="1:8" ht="17.850000000000001" hidden="1" thickBot="1" x14ac:dyDescent="0.3">
      <c r="A54" s="3"/>
      <c r="B54" s="89" t="s">
        <v>129</v>
      </c>
      <c r="C54" s="90"/>
      <c r="D54" s="44">
        <v>0.05</v>
      </c>
      <c r="E54" s="4">
        <f>E53*$D54</f>
        <v>175.89841100000001</v>
      </c>
      <c r="F54" s="4">
        <f>F53*$D54</f>
        <v>250.31696949999997</v>
      </c>
      <c r="G54" s="4">
        <f>G53*$D54</f>
        <v>281.43745760000002</v>
      </c>
      <c r="H54" s="36"/>
    </row>
    <row r="55" spans="1:8" ht="20.75" hidden="1" customHeight="1" thickBot="1" x14ac:dyDescent="0.3">
      <c r="A55" s="3"/>
      <c r="B55" s="86" t="s">
        <v>145</v>
      </c>
      <c r="C55" s="87"/>
      <c r="D55" s="88"/>
      <c r="E55" s="45">
        <f>E53-E54</f>
        <v>3342.0698090000001</v>
      </c>
      <c r="F55" s="45">
        <f>F53-F54</f>
        <v>4756.0224204999995</v>
      </c>
      <c r="G55" s="45">
        <f>G53-G54</f>
        <v>5347.3116944000003</v>
      </c>
      <c r="H55" s="36"/>
    </row>
    <row r="56" spans="1:8" ht="19.05" thickBot="1" x14ac:dyDescent="0.3">
      <c r="A56" s="31"/>
      <c r="B56" s="121"/>
      <c r="C56" s="122"/>
      <c r="D56" s="123"/>
      <c r="E56" s="34"/>
      <c r="F56" s="34"/>
      <c r="G56" s="35"/>
      <c r="H56" s="36"/>
    </row>
    <row r="57" spans="1:8" ht="20.75" thickBot="1" x14ac:dyDescent="0.3">
      <c r="A57" s="78" t="s">
        <v>31</v>
      </c>
      <c r="B57" s="96" t="s">
        <v>56</v>
      </c>
      <c r="C57" s="97"/>
      <c r="D57" s="98"/>
      <c r="E57" s="24" t="s">
        <v>64</v>
      </c>
      <c r="F57" s="24" t="s">
        <v>65</v>
      </c>
      <c r="G57" s="24" t="s">
        <v>66</v>
      </c>
      <c r="H57" s="24"/>
    </row>
    <row r="58" spans="1:8" ht="18.45" x14ac:dyDescent="0.25">
      <c r="A58" s="48" t="s">
        <v>312</v>
      </c>
      <c r="B58" s="49" t="s">
        <v>146</v>
      </c>
      <c r="C58" s="50">
        <v>1</v>
      </c>
      <c r="D58" s="51" t="s">
        <v>211</v>
      </c>
      <c r="E58" s="52">
        <f>'[3]Sheet 1'!$E11*115%*130%</f>
        <v>441.02500000000003</v>
      </c>
      <c r="F58" s="52">
        <f>'[3]Sheet 1'!$N11*115%*130%</f>
        <v>1058.46</v>
      </c>
      <c r="G58" s="53">
        <f>'[3]Sheet 1'!$W11*115%*130%</f>
        <v>686.23489999999993</v>
      </c>
      <c r="H58" s="54"/>
    </row>
    <row r="59" spans="1:8" ht="18.45" x14ac:dyDescent="0.25">
      <c r="A59" s="55" t="s">
        <v>313</v>
      </c>
      <c r="B59" s="56" t="s">
        <v>147</v>
      </c>
      <c r="C59" s="57">
        <v>1</v>
      </c>
      <c r="D59" s="58" t="s">
        <v>211</v>
      </c>
      <c r="E59" s="59">
        <f>'[3]Sheet 1'!$E12*115%*130%</f>
        <v>1323.0749999999998</v>
      </c>
      <c r="F59" s="59">
        <f>'[3]Sheet 1'!$N12*115%*130%</f>
        <v>3528.2000000000003</v>
      </c>
      <c r="G59" s="60">
        <f>'[3]Sheet 1'!$W12*115%*130%</f>
        <v>2173.3712</v>
      </c>
      <c r="H59" s="61"/>
    </row>
    <row r="60" spans="1:8" ht="18.45" x14ac:dyDescent="0.25">
      <c r="A60" s="55" t="s">
        <v>314</v>
      </c>
      <c r="B60" s="56" t="s">
        <v>148</v>
      </c>
      <c r="C60" s="57">
        <v>1</v>
      </c>
      <c r="D60" s="58" t="s">
        <v>211</v>
      </c>
      <c r="E60" s="59">
        <f>'[3]Sheet 1'!$E13*115%*130%</f>
        <v>2646.1499999999996</v>
      </c>
      <c r="F60" s="59">
        <f>'[3]Sheet 1'!$N13*115%*130%</f>
        <v>7056.4000000000005</v>
      </c>
      <c r="G60" s="60">
        <f>'[3]Sheet 1'!$W13*115%*130%</f>
        <v>3066.0057999999999</v>
      </c>
      <c r="H60" s="61"/>
    </row>
    <row r="61" spans="1:8" ht="18.45" x14ac:dyDescent="0.25">
      <c r="A61" s="55" t="s">
        <v>315</v>
      </c>
      <c r="B61" s="56" t="s">
        <v>149</v>
      </c>
      <c r="C61" s="57">
        <v>1</v>
      </c>
      <c r="D61" s="58" t="s">
        <v>25</v>
      </c>
      <c r="E61" s="59">
        <f>'[3]Sheet 1'!$E14*115%*130%</f>
        <v>211.69199999999998</v>
      </c>
      <c r="F61" s="59">
        <f>'[3]Sheet 1'!$N14*115%*130%</f>
        <v>0</v>
      </c>
      <c r="G61" s="60">
        <f>'[3]Sheet 1'!$W14*115%*130%</f>
        <v>0</v>
      </c>
      <c r="H61" s="61"/>
    </row>
    <row r="62" spans="1:8" ht="18.45" x14ac:dyDescent="0.25">
      <c r="A62" s="55" t="s">
        <v>316</v>
      </c>
      <c r="B62" s="56" t="s">
        <v>150</v>
      </c>
      <c r="C62" s="57">
        <v>1</v>
      </c>
      <c r="D62" s="58" t="s">
        <v>25</v>
      </c>
      <c r="E62" s="59">
        <f>'[3]Sheet 1'!$E15*115%*130%</f>
        <v>617.43500000000006</v>
      </c>
      <c r="F62" s="59">
        <f>'[3]Sheet 1'!$N15*115%*130%</f>
        <v>0</v>
      </c>
      <c r="G62" s="60">
        <f>'[3]Sheet 1'!$W15*115%*130%</f>
        <v>0</v>
      </c>
      <c r="H62" s="61"/>
    </row>
    <row r="63" spans="1:8" ht="18.45" x14ac:dyDescent="0.25">
      <c r="A63" s="55" t="s">
        <v>317</v>
      </c>
      <c r="B63" s="56" t="s">
        <v>151</v>
      </c>
      <c r="C63" s="57">
        <v>1</v>
      </c>
      <c r="D63" s="58" t="s">
        <v>25</v>
      </c>
      <c r="E63" s="59">
        <f>'[3]Sheet 1'!$E16*115%*130%</f>
        <v>882.05000000000007</v>
      </c>
      <c r="F63" s="59">
        <f>'[3]Sheet 1'!$N16*115%*130%</f>
        <v>0</v>
      </c>
      <c r="G63" s="60">
        <f>'[3]Sheet 1'!$W16*115%*130%</f>
        <v>0</v>
      </c>
      <c r="H63" s="61"/>
    </row>
    <row r="64" spans="1:8" ht="18.45" x14ac:dyDescent="0.25">
      <c r="A64" s="55" t="s">
        <v>318</v>
      </c>
      <c r="B64" s="56" t="s">
        <v>152</v>
      </c>
      <c r="C64" s="57">
        <v>1</v>
      </c>
      <c r="D64" s="58" t="s">
        <v>25</v>
      </c>
      <c r="E64" s="59">
        <f>'[3]Sheet 1'!$E17*115%*130%</f>
        <v>2910.7649999999999</v>
      </c>
      <c r="F64" s="59">
        <f>'[3]Sheet 1'!$N17*115%*130%</f>
        <v>0</v>
      </c>
      <c r="G64" s="60">
        <f>'[3]Sheet 1'!$W17*115%*130%</f>
        <v>0</v>
      </c>
      <c r="H64" s="61"/>
    </row>
    <row r="65" spans="1:8" ht="18.45" x14ac:dyDescent="0.25">
      <c r="A65" s="55" t="s">
        <v>319</v>
      </c>
      <c r="B65" s="56" t="s">
        <v>153</v>
      </c>
      <c r="C65" s="57">
        <v>1</v>
      </c>
      <c r="D65" s="58" t="s">
        <v>25</v>
      </c>
      <c r="E65" s="59">
        <f>'[3]Sheet 1'!$E18*115%*130%</f>
        <v>1058.46</v>
      </c>
      <c r="F65" s="59">
        <f>'[3]Sheet 1'!$N18*115%*130%</f>
        <v>0</v>
      </c>
      <c r="G65" s="60">
        <f>'[3]Sheet 1'!$W18*115%*130%</f>
        <v>0</v>
      </c>
      <c r="H65" s="61"/>
    </row>
    <row r="66" spans="1:8" ht="18.45" x14ac:dyDescent="0.25">
      <c r="A66" s="55" t="s">
        <v>320</v>
      </c>
      <c r="B66" s="56" t="s">
        <v>154</v>
      </c>
      <c r="C66" s="57">
        <v>1</v>
      </c>
      <c r="D66" s="58" t="s">
        <v>58</v>
      </c>
      <c r="E66" s="59">
        <f>'[3]Sheet 1'!$E19*115%*130%</f>
        <v>441.02500000000003</v>
      </c>
      <c r="F66" s="59">
        <f>'[3]Sheet 1'!$N19*115%*130%</f>
        <v>0</v>
      </c>
      <c r="G66" s="60">
        <f>'[3]Sheet 1'!$W19*115%*130%</f>
        <v>0</v>
      </c>
      <c r="H66" s="61"/>
    </row>
    <row r="67" spans="1:8" ht="18.45" x14ac:dyDescent="0.25">
      <c r="A67" s="55" t="s">
        <v>321</v>
      </c>
      <c r="B67" s="56" t="s">
        <v>155</v>
      </c>
      <c r="C67" s="57">
        <v>1</v>
      </c>
      <c r="D67" s="58" t="s">
        <v>212</v>
      </c>
      <c r="E67" s="59">
        <f>'[3]Sheet 1'!$E20*115%*130%</f>
        <v>176.41</v>
      </c>
      <c r="F67" s="59">
        <f>'[3]Sheet 1'!$N20*115%*130%</f>
        <v>0</v>
      </c>
      <c r="G67" s="60">
        <f>'[3]Sheet 1'!$W20*115%*130%</f>
        <v>0</v>
      </c>
      <c r="H67" s="61"/>
    </row>
    <row r="68" spans="1:8" ht="18.45" x14ac:dyDescent="0.25">
      <c r="A68" s="55" t="s">
        <v>322</v>
      </c>
      <c r="B68" s="56" t="s">
        <v>156</v>
      </c>
      <c r="C68" s="57">
        <v>1</v>
      </c>
      <c r="D68" s="58" t="s">
        <v>212</v>
      </c>
      <c r="E68" s="59">
        <f>'[3]Sheet 1'!$E21*115%*130%</f>
        <v>229.333</v>
      </c>
      <c r="F68" s="59">
        <f>'[3]Sheet 1'!$N21*115%*130%</f>
        <v>0</v>
      </c>
      <c r="G68" s="60">
        <f>'[3]Sheet 1'!$W21*115%*130%</f>
        <v>0</v>
      </c>
      <c r="H68" s="61"/>
    </row>
    <row r="69" spans="1:8" ht="18.45" x14ac:dyDescent="0.25">
      <c r="A69" s="55" t="s">
        <v>323</v>
      </c>
      <c r="B69" s="56" t="s">
        <v>157</v>
      </c>
      <c r="C69" s="57">
        <v>1</v>
      </c>
      <c r="D69" s="58" t="s">
        <v>25</v>
      </c>
      <c r="E69" s="59">
        <f>'[3]Sheet 1'!$E22*115%*130%</f>
        <v>882.05000000000007</v>
      </c>
      <c r="F69" s="59">
        <f>'[3]Sheet 1'!$N22*115%*130%</f>
        <v>0</v>
      </c>
      <c r="G69" s="60">
        <f>'[3]Sheet 1'!$W22*115%*130%</f>
        <v>0</v>
      </c>
      <c r="H69" s="61"/>
    </row>
    <row r="70" spans="1:8" ht="18.45" x14ac:dyDescent="0.25">
      <c r="A70" s="55" t="s">
        <v>324</v>
      </c>
      <c r="B70" s="56" t="s">
        <v>158</v>
      </c>
      <c r="C70" s="57">
        <v>1</v>
      </c>
      <c r="D70" s="58" t="s">
        <v>213</v>
      </c>
      <c r="E70" s="59">
        <f>'[3]Sheet 1'!$E23*115%*130%</f>
        <v>529.23</v>
      </c>
      <c r="F70" s="59">
        <f>'[3]Sheet 1'!$N23*115%*130%</f>
        <v>0</v>
      </c>
      <c r="G70" s="60">
        <f>'[3]Sheet 1'!$W23*115%*130%</f>
        <v>0</v>
      </c>
      <c r="H70" s="61"/>
    </row>
    <row r="71" spans="1:8" ht="18.45" x14ac:dyDescent="0.25">
      <c r="A71" s="55" t="s">
        <v>325</v>
      </c>
      <c r="B71" s="56" t="s">
        <v>159</v>
      </c>
      <c r="C71" s="57">
        <v>1</v>
      </c>
      <c r="D71" s="58" t="s">
        <v>213</v>
      </c>
      <c r="E71" s="59">
        <f>'[3]Sheet 1'!$E24*115%*130%</f>
        <v>793.84500000000003</v>
      </c>
      <c r="F71" s="59">
        <f>'[3]Sheet 1'!$N24*115%*130%</f>
        <v>0</v>
      </c>
      <c r="G71" s="60">
        <f>'[3]Sheet 1'!$W24*115%*130%</f>
        <v>0</v>
      </c>
      <c r="H71" s="61"/>
    </row>
    <row r="72" spans="1:8" ht="18.45" x14ac:dyDescent="0.25">
      <c r="A72" s="55"/>
      <c r="B72" s="56"/>
      <c r="C72" s="57"/>
      <c r="D72" s="58"/>
      <c r="E72" s="69" t="s">
        <v>454</v>
      </c>
      <c r="F72" s="60"/>
      <c r="G72" s="60"/>
      <c r="H72" s="61"/>
    </row>
    <row r="73" spans="1:8" ht="18.45" x14ac:dyDescent="0.25">
      <c r="A73" s="55" t="s">
        <v>326</v>
      </c>
      <c r="B73" s="56" t="s">
        <v>160</v>
      </c>
      <c r="C73" s="57">
        <v>1</v>
      </c>
      <c r="D73" s="58" t="s">
        <v>25</v>
      </c>
      <c r="E73" s="59">
        <f>'[3]Sheet 1'!$E26*115%*130%</f>
        <v>3528.2000000000003</v>
      </c>
      <c r="F73" s="59">
        <f>'[3]Sheet 1'!$N26*115%*130%</f>
        <v>0</v>
      </c>
      <c r="G73" s="60">
        <f>'[3]Sheet 1'!$W26*115%*130%</f>
        <v>0</v>
      </c>
      <c r="H73" s="61"/>
    </row>
    <row r="74" spans="1:8" ht="18.45" x14ac:dyDescent="0.25">
      <c r="A74" s="55"/>
      <c r="B74" s="56"/>
      <c r="C74" s="57"/>
      <c r="D74" s="58"/>
      <c r="E74" s="59"/>
      <c r="F74" s="59"/>
      <c r="G74" s="60"/>
      <c r="H74" s="61"/>
    </row>
    <row r="75" spans="1:8" ht="18.45" x14ac:dyDescent="0.25">
      <c r="A75" s="55" t="s">
        <v>327</v>
      </c>
      <c r="B75" s="56" t="s">
        <v>161</v>
      </c>
      <c r="C75" s="57">
        <v>1</v>
      </c>
      <c r="D75" s="58" t="s">
        <v>25</v>
      </c>
      <c r="E75" s="59">
        <f>'[3]Sheet 1'!$E27*115%*130%</f>
        <v>61.74349999999999</v>
      </c>
      <c r="F75" s="59">
        <f>'[3]Sheet 1'!$N27*115%*130%</f>
        <v>0</v>
      </c>
      <c r="G75" s="60">
        <f>'[3]Sheet 1'!$W27*115%*130%</f>
        <v>0</v>
      </c>
      <c r="H75" s="61"/>
    </row>
    <row r="76" spans="1:8" ht="18.45" x14ac:dyDescent="0.25">
      <c r="A76" s="55" t="s">
        <v>328</v>
      </c>
      <c r="B76" s="56" t="s">
        <v>162</v>
      </c>
      <c r="C76" s="57">
        <v>1</v>
      </c>
      <c r="D76" s="58" t="s">
        <v>25</v>
      </c>
      <c r="E76" s="59">
        <f>'[3]Sheet 1'!$E28*115%*130%</f>
        <v>79.384500000000003</v>
      </c>
      <c r="F76" s="59">
        <f>'[3]Sheet 1'!$N28*115%*130%</f>
        <v>0</v>
      </c>
      <c r="G76" s="60">
        <f>'[3]Sheet 1'!$W28*115%*130%</f>
        <v>0</v>
      </c>
      <c r="H76" s="61"/>
    </row>
    <row r="77" spans="1:8" ht="18.45" x14ac:dyDescent="0.25">
      <c r="A77" s="55" t="s">
        <v>329</v>
      </c>
      <c r="B77" s="56" t="s">
        <v>163</v>
      </c>
      <c r="C77" s="57">
        <v>1</v>
      </c>
      <c r="D77" s="58" t="s">
        <v>25</v>
      </c>
      <c r="E77" s="59">
        <f>'[3]Sheet 1'!$E29*115%*130%</f>
        <v>45.866599999999998</v>
      </c>
      <c r="F77" s="59">
        <f>'[3]Sheet 1'!$N29*115%*130%</f>
        <v>0</v>
      </c>
      <c r="G77" s="60">
        <f>'[3]Sheet 1'!$W29*115%*130%</f>
        <v>0</v>
      </c>
      <c r="H77" s="61"/>
    </row>
    <row r="78" spans="1:8" ht="18.45" x14ac:dyDescent="0.25">
      <c r="A78" s="55"/>
      <c r="B78" s="56"/>
      <c r="C78" s="57"/>
      <c r="D78" s="58"/>
      <c r="E78" s="59"/>
      <c r="F78" s="60"/>
      <c r="G78" s="60"/>
      <c r="H78" s="61"/>
    </row>
    <row r="79" spans="1:8" ht="36.9" x14ac:dyDescent="0.25">
      <c r="A79" s="55" t="s">
        <v>330</v>
      </c>
      <c r="B79" s="56" t="s">
        <v>164</v>
      </c>
      <c r="C79" s="57">
        <v>1</v>
      </c>
      <c r="D79" s="58" t="s">
        <v>58</v>
      </c>
      <c r="E79" s="59">
        <f>'[3]Sheet 1'!$E31*115%*130%</f>
        <v>2549.1244999999999</v>
      </c>
      <c r="F79" s="59">
        <f>'[3]Sheet 1'!$N31*115%*130%</f>
        <v>0</v>
      </c>
      <c r="G79" s="60">
        <f>'[3]Sheet 1'!$W31*115%*130%</f>
        <v>0</v>
      </c>
      <c r="H79" s="61"/>
    </row>
    <row r="80" spans="1:8" ht="36.9" x14ac:dyDescent="0.25">
      <c r="A80" s="55" t="s">
        <v>331</v>
      </c>
      <c r="B80" s="56" t="s">
        <v>165</v>
      </c>
      <c r="C80" s="57">
        <v>1</v>
      </c>
      <c r="D80" s="58" t="s">
        <v>58</v>
      </c>
      <c r="E80" s="59">
        <f>'[3]Sheet 1'!$E32*115%*130%</f>
        <v>3662.2715999999996</v>
      </c>
      <c r="F80" s="59">
        <f>'[3]Sheet 1'!$N32*115%*130%</f>
        <v>0</v>
      </c>
      <c r="G80" s="60">
        <f>'[3]Sheet 1'!$W32*115%*130%</f>
        <v>0</v>
      </c>
      <c r="H80" s="61"/>
    </row>
    <row r="81" spans="1:8" ht="36.9" x14ac:dyDescent="0.25">
      <c r="A81" s="55" t="s">
        <v>332</v>
      </c>
      <c r="B81" s="56" t="s">
        <v>166</v>
      </c>
      <c r="C81" s="57">
        <v>1</v>
      </c>
      <c r="D81" s="58" t="s">
        <v>58</v>
      </c>
      <c r="E81" s="59">
        <f>'[3]Sheet 1'!$E33*115%*130%</f>
        <v>4487.8703999999998</v>
      </c>
      <c r="F81" s="59">
        <f>'[3]Sheet 1'!$N33*115%*130%</f>
        <v>0</v>
      </c>
      <c r="G81" s="60">
        <f>'[3]Sheet 1'!$W33*115%*130%</f>
        <v>0</v>
      </c>
      <c r="H81" s="61"/>
    </row>
    <row r="82" spans="1:8" ht="18.45" x14ac:dyDescent="0.25">
      <c r="A82" s="55" t="s">
        <v>333</v>
      </c>
      <c r="B82" s="56" t="s">
        <v>167</v>
      </c>
      <c r="C82" s="57">
        <v>1</v>
      </c>
      <c r="D82" s="58" t="s">
        <v>25</v>
      </c>
      <c r="E82" s="59">
        <f>'[3]Sheet 1'!$E34*115%*130%</f>
        <v>44074.274399999995</v>
      </c>
      <c r="F82" s="59">
        <f>'[3]Sheet 1'!$N34*115%*130%</f>
        <v>0</v>
      </c>
      <c r="G82" s="60">
        <f>'[3]Sheet 1'!$W34*115%*130%</f>
        <v>0</v>
      </c>
      <c r="H82" s="61"/>
    </row>
    <row r="83" spans="1:8" ht="18.45" x14ac:dyDescent="0.25">
      <c r="A83" s="55" t="s">
        <v>334</v>
      </c>
      <c r="B83" s="56" t="s">
        <v>168</v>
      </c>
      <c r="C83" s="57">
        <v>1</v>
      </c>
      <c r="D83" s="58" t="s">
        <v>25</v>
      </c>
      <c r="E83" s="59">
        <f>'[3]Sheet 1'!$E35*115%*130%</f>
        <v>26456.207699999995</v>
      </c>
      <c r="F83" s="59">
        <f>'[3]Sheet 1'!$N35*115%*130%</f>
        <v>0</v>
      </c>
      <c r="G83" s="60">
        <f>'[3]Sheet 1'!$W35*115%*130%</f>
        <v>0</v>
      </c>
      <c r="H83" s="61"/>
    </row>
    <row r="84" spans="1:8" ht="18.45" x14ac:dyDescent="0.25">
      <c r="A84" s="55" t="s">
        <v>335</v>
      </c>
      <c r="B84" s="56" t="s">
        <v>169</v>
      </c>
      <c r="C84" s="57">
        <v>1</v>
      </c>
      <c r="D84" s="58" t="s">
        <v>25</v>
      </c>
      <c r="E84" s="59">
        <f>'[3]Sheet 1'!$E36*115%*130%</f>
        <v>15358.2546</v>
      </c>
      <c r="F84" s="59">
        <f>'[3]Sheet 1'!$N36*115%*130%</f>
        <v>0</v>
      </c>
      <c r="G84" s="60">
        <f>'[3]Sheet 1'!$W36*115%*130%</f>
        <v>0</v>
      </c>
      <c r="H84" s="61"/>
    </row>
    <row r="85" spans="1:8" ht="18.45" x14ac:dyDescent="0.25">
      <c r="A85" s="55"/>
      <c r="B85" s="56"/>
      <c r="C85" s="57"/>
      <c r="D85" s="58"/>
      <c r="E85" s="69" t="s">
        <v>455</v>
      </c>
      <c r="F85" s="60"/>
      <c r="G85" s="60"/>
      <c r="H85" s="61"/>
    </row>
    <row r="86" spans="1:8" ht="18.45" x14ac:dyDescent="0.25">
      <c r="A86" s="55" t="s">
        <v>336</v>
      </c>
      <c r="B86" s="56" t="s">
        <v>170</v>
      </c>
      <c r="C86" s="57">
        <v>1</v>
      </c>
      <c r="D86" s="58" t="s">
        <v>25</v>
      </c>
      <c r="E86" s="59">
        <f>'[3]Sheet 1'!$E38*115%*130%</f>
        <v>88205</v>
      </c>
      <c r="F86" s="59">
        <f>'[3]Sheet 1'!$N38*115%*130%</f>
        <v>0</v>
      </c>
      <c r="G86" s="60">
        <f>'[3]Sheet 1'!$W38*115%*130%</f>
        <v>0</v>
      </c>
      <c r="H86" s="61"/>
    </row>
    <row r="87" spans="1:8" ht="19.05" thickBot="1" x14ac:dyDescent="0.3">
      <c r="A87" s="55" t="s">
        <v>337</v>
      </c>
      <c r="B87" s="62" t="s">
        <v>171</v>
      </c>
      <c r="C87" s="63">
        <v>1</v>
      </c>
      <c r="D87" s="64" t="s">
        <v>25</v>
      </c>
      <c r="E87" s="65">
        <f>'[3]Sheet 1'!$E39*115%*130%</f>
        <v>70564</v>
      </c>
      <c r="F87" s="65">
        <f>'[3]Sheet 1'!$N39*115%*130%</f>
        <v>0</v>
      </c>
      <c r="G87" s="42">
        <f>'[3]Sheet 1'!$W39*115%*130%</f>
        <v>0</v>
      </c>
      <c r="H87" s="66"/>
    </row>
    <row r="88" spans="1:8" ht="20.75" thickBot="1" x14ac:dyDescent="0.3">
      <c r="A88" s="3"/>
      <c r="B88" s="86" t="s">
        <v>172</v>
      </c>
      <c r="C88" s="87"/>
      <c r="D88" s="88"/>
      <c r="E88" s="45">
        <f>SUM(E58:E87)</f>
        <v>272214.74280000001</v>
      </c>
      <c r="F88" s="45">
        <f>SUM(F58:F87)</f>
        <v>11643.060000000001</v>
      </c>
      <c r="G88" s="45">
        <f>SUM(G58:G87)</f>
        <v>5925.6118999999999</v>
      </c>
      <c r="H88" s="43"/>
    </row>
    <row r="89" spans="1:8" ht="16.149999999999999" hidden="1" thickBot="1" x14ac:dyDescent="0.3">
      <c r="A89" s="3"/>
      <c r="B89" s="89" t="s">
        <v>32</v>
      </c>
      <c r="C89" s="90"/>
      <c r="D89" s="44">
        <v>0.18</v>
      </c>
      <c r="E89" s="46">
        <f>E88*$D89</f>
        <v>48998.653703999997</v>
      </c>
      <c r="F89" s="46">
        <f>F88*$D89</f>
        <v>2095.7508000000003</v>
      </c>
      <c r="G89" s="46">
        <f>G88*$D89</f>
        <v>1066.610142</v>
      </c>
      <c r="H89" s="39"/>
    </row>
    <row r="90" spans="1:8" ht="16.149999999999999" hidden="1" thickBot="1" x14ac:dyDescent="0.3">
      <c r="A90" s="3"/>
      <c r="B90" s="89" t="s">
        <v>33</v>
      </c>
      <c r="C90" s="90"/>
      <c r="D90" s="99"/>
      <c r="E90" s="47">
        <f>E89+E88</f>
        <v>321213.396504</v>
      </c>
      <c r="F90" s="47">
        <f>F89+F88</f>
        <v>13738.810800000001</v>
      </c>
      <c r="G90" s="47">
        <f>G89+G88</f>
        <v>6992.2220419999994</v>
      </c>
      <c r="H90" s="6"/>
    </row>
    <row r="91" spans="1:8" ht="16.149999999999999" hidden="1" thickBot="1" x14ac:dyDescent="0.3">
      <c r="A91" s="3"/>
      <c r="B91" s="89" t="s">
        <v>129</v>
      </c>
      <c r="C91" s="90"/>
      <c r="D91" s="44">
        <v>0.05</v>
      </c>
      <c r="E91" s="4">
        <f>E90*$D91</f>
        <v>16060.669825200001</v>
      </c>
      <c r="F91" s="4">
        <f>F90*$D91</f>
        <v>686.94054000000006</v>
      </c>
      <c r="G91" s="4">
        <f>G90*$D91</f>
        <v>349.61110209999998</v>
      </c>
      <c r="H91" s="5"/>
    </row>
    <row r="92" spans="1:8" ht="20.75" hidden="1" customHeight="1" thickBot="1" x14ac:dyDescent="0.3">
      <c r="A92" s="3"/>
      <c r="B92" s="100" t="s">
        <v>173</v>
      </c>
      <c r="C92" s="101"/>
      <c r="D92" s="102"/>
      <c r="E92" s="67">
        <f>E90-E91</f>
        <v>305152.72667880001</v>
      </c>
      <c r="F92" s="67">
        <f>F90-F91</f>
        <v>13051.870260000002</v>
      </c>
      <c r="G92" s="67">
        <f>G90-G91</f>
        <v>6642.6109398999997</v>
      </c>
      <c r="H92" s="68"/>
    </row>
    <row r="93" spans="1:8" ht="20.75" thickBot="1" x14ac:dyDescent="0.3">
      <c r="A93" s="79" t="s">
        <v>96</v>
      </c>
      <c r="B93" s="96" t="s">
        <v>98</v>
      </c>
      <c r="C93" s="97"/>
      <c r="D93" s="98"/>
      <c r="E93" s="24" t="s">
        <v>242</v>
      </c>
      <c r="F93" s="24" t="s">
        <v>64</v>
      </c>
      <c r="G93" s="24" t="s">
        <v>243</v>
      </c>
      <c r="H93" s="24"/>
    </row>
    <row r="94" spans="1:8" ht="18.45" x14ac:dyDescent="0.25">
      <c r="A94" s="10" t="s">
        <v>348</v>
      </c>
      <c r="B94" s="11" t="s">
        <v>174</v>
      </c>
      <c r="C94" s="22">
        <v>1</v>
      </c>
      <c r="D94" s="21" t="s">
        <v>25</v>
      </c>
      <c r="E94" s="40">
        <f>'[4]Sheet 1'!$E11*115%*130%</f>
        <v>0</v>
      </c>
      <c r="F94" s="41">
        <f>'[4]Sheet 1'!$N11*115%*130%</f>
        <v>317.53800000000001</v>
      </c>
      <c r="G94" s="42">
        <f>'[4]Sheet 1'!$Z11*115%*130%</f>
        <v>352.82</v>
      </c>
      <c r="H94" s="12"/>
    </row>
    <row r="95" spans="1:8" ht="18.45" x14ac:dyDescent="0.25">
      <c r="A95" s="10" t="s">
        <v>349</v>
      </c>
      <c r="B95" s="11" t="s">
        <v>175</v>
      </c>
      <c r="C95" s="22">
        <v>1</v>
      </c>
      <c r="D95" s="21" t="s">
        <v>25</v>
      </c>
      <c r="E95" s="40">
        <f>'[4]Sheet 1'!$E12*115%*130%</f>
        <v>1005.537</v>
      </c>
      <c r="F95" s="41">
        <f>'[4]Sheet 1'!$N12*115%*130%</f>
        <v>529.23</v>
      </c>
      <c r="G95" s="42">
        <f>'[4]Sheet 1'!$Z12*115%*130%</f>
        <v>705.64</v>
      </c>
      <c r="H95" s="12"/>
    </row>
    <row r="96" spans="1:8" ht="18.45" x14ac:dyDescent="0.25">
      <c r="A96" s="10" t="s">
        <v>350</v>
      </c>
      <c r="B96" s="11" t="s">
        <v>176</v>
      </c>
      <c r="C96" s="22">
        <v>1</v>
      </c>
      <c r="D96" s="21" t="s">
        <v>25</v>
      </c>
      <c r="E96" s="40">
        <f>'[4]Sheet 1'!$E13*115%*130%</f>
        <v>2337.4324999999999</v>
      </c>
      <c r="F96" s="41">
        <f>'[4]Sheet 1'!$N13*115%*130%</f>
        <v>970.25499999999988</v>
      </c>
      <c r="G96" s="42">
        <f>'[4]Sheet 1'!$Z13*115%*130%</f>
        <v>1234.8700000000001</v>
      </c>
      <c r="H96" s="12"/>
    </row>
    <row r="97" spans="1:8" ht="18.45" x14ac:dyDescent="0.25">
      <c r="A97" s="10" t="s">
        <v>351</v>
      </c>
      <c r="B97" s="11" t="s">
        <v>177</v>
      </c>
      <c r="C97" s="22">
        <v>1</v>
      </c>
      <c r="D97" s="21" t="s">
        <v>25</v>
      </c>
      <c r="E97" s="40">
        <f>'[4]Sheet 1'!$E14*115%*130%</f>
        <v>0</v>
      </c>
      <c r="F97" s="41">
        <f>'[4]Sheet 1'!$N14*115%*130%</f>
        <v>2646.1499999999996</v>
      </c>
      <c r="G97" s="42">
        <f>'[4]Sheet 1'!$Z14*115%*130%</f>
        <v>2646.1499999999996</v>
      </c>
      <c r="H97" s="12"/>
    </row>
    <row r="98" spans="1:8" ht="18.45" x14ac:dyDescent="0.25">
      <c r="A98" s="10" t="s">
        <v>352</v>
      </c>
      <c r="B98" s="11" t="s">
        <v>178</v>
      </c>
      <c r="C98" s="22">
        <v>1</v>
      </c>
      <c r="D98" s="21" t="s">
        <v>25</v>
      </c>
      <c r="E98" s="40">
        <f>'[4]Sheet 1'!$E15*115%*130%</f>
        <v>176.41</v>
      </c>
      <c r="F98" s="41">
        <f>'[4]Sheet 1'!$N15*115%*130%</f>
        <v>141.12800000000001</v>
      </c>
      <c r="G98" s="42">
        <f>'[4]Sheet 1'!$Z15*115%*130%</f>
        <v>0</v>
      </c>
      <c r="H98" s="12"/>
    </row>
    <row r="99" spans="1:8" ht="18.45" x14ac:dyDescent="0.25">
      <c r="A99" s="10" t="s">
        <v>353</v>
      </c>
      <c r="B99" s="11" t="s">
        <v>179</v>
      </c>
      <c r="C99" s="22">
        <v>1</v>
      </c>
      <c r="D99" s="21" t="s">
        <v>25</v>
      </c>
      <c r="E99" s="40">
        <f>'[4]Sheet 1'!$E16*115%*130%</f>
        <v>0</v>
      </c>
      <c r="F99" s="41">
        <f>'[4]Sheet 1'!$N16*115%*130%</f>
        <v>0</v>
      </c>
      <c r="G99" s="42">
        <f>'[4]Sheet 1'!$Z16*115%*130%</f>
        <v>7938.4499999999989</v>
      </c>
      <c r="H99" s="12"/>
    </row>
    <row r="100" spans="1:8" ht="18.45" x14ac:dyDescent="0.25">
      <c r="A100" s="10" t="s">
        <v>354</v>
      </c>
      <c r="B100" s="11" t="s">
        <v>180</v>
      </c>
      <c r="C100" s="22">
        <v>1</v>
      </c>
      <c r="D100" s="21" t="s">
        <v>25</v>
      </c>
      <c r="E100" s="40">
        <f>'[4]Sheet 1'!$E17*115%*130%</f>
        <v>1411.28</v>
      </c>
      <c r="F100" s="41">
        <f>'[4]Sheet 1'!$N17*115%*130%</f>
        <v>0</v>
      </c>
      <c r="G100" s="42">
        <f>'[4]Sheet 1'!$Z17*115%*130%</f>
        <v>1323.0749999999998</v>
      </c>
      <c r="H100" s="12"/>
    </row>
    <row r="101" spans="1:8" ht="18.45" x14ac:dyDescent="0.25">
      <c r="A101" s="10" t="s">
        <v>355</v>
      </c>
      <c r="B101" s="11" t="s">
        <v>181</v>
      </c>
      <c r="C101" s="22">
        <v>1</v>
      </c>
      <c r="D101" s="21" t="s">
        <v>25</v>
      </c>
      <c r="E101" s="40">
        <f>'[4]Sheet 1'!$E18*115%*130%</f>
        <v>1375.9979999999998</v>
      </c>
      <c r="F101" s="41">
        <f>'[4]Sheet 1'!$N18*115%*130%</f>
        <v>0</v>
      </c>
      <c r="G101" s="42">
        <f>'[4]Sheet 1'!$Z18*115%*130%</f>
        <v>1146.665</v>
      </c>
      <c r="H101" s="12"/>
    </row>
    <row r="102" spans="1:8" ht="18.45" x14ac:dyDescent="0.25">
      <c r="A102" s="10" t="s">
        <v>356</v>
      </c>
      <c r="B102" s="11" t="s">
        <v>182</v>
      </c>
      <c r="C102" s="22">
        <v>1</v>
      </c>
      <c r="D102" s="21" t="s">
        <v>25</v>
      </c>
      <c r="E102" s="40">
        <f>'[4]Sheet 1'!$E19*115%*130%</f>
        <v>1587.69</v>
      </c>
      <c r="F102" s="41">
        <f>'[4]Sheet 1'!$N19*115%*130%</f>
        <v>0</v>
      </c>
      <c r="G102" s="42">
        <f>'[4]Sheet 1'!$Z19*115%*130%</f>
        <v>1764.1000000000001</v>
      </c>
      <c r="H102" s="12"/>
    </row>
    <row r="103" spans="1:8" ht="18.45" x14ac:dyDescent="0.25">
      <c r="A103" s="10" t="s">
        <v>357</v>
      </c>
      <c r="B103" s="11" t="s">
        <v>183</v>
      </c>
      <c r="C103" s="22">
        <v>1</v>
      </c>
      <c r="D103" s="21" t="s">
        <v>25</v>
      </c>
      <c r="E103" s="40">
        <f>'[4]Sheet 1'!$E20*115%*130%</f>
        <v>114.6665</v>
      </c>
      <c r="F103" s="41">
        <f>'[4]Sheet 1'!$N20*115%*130%</f>
        <v>0</v>
      </c>
      <c r="G103" s="42">
        <f>'[4]Sheet 1'!$Z20*115%*130%</f>
        <v>0</v>
      </c>
      <c r="H103" s="12"/>
    </row>
    <row r="104" spans="1:8" ht="18.45" x14ac:dyDescent="0.25">
      <c r="A104" s="10" t="s">
        <v>358</v>
      </c>
      <c r="B104" s="11" t="s">
        <v>184</v>
      </c>
      <c r="C104" s="22">
        <v>1</v>
      </c>
      <c r="D104" s="21" t="s">
        <v>25</v>
      </c>
      <c r="E104" s="40">
        <f>'[4]Sheet 1'!$E21*115%*130%</f>
        <v>0</v>
      </c>
      <c r="F104" s="41">
        <f>'[4]Sheet 1'!$N21*115%*130%</f>
        <v>3528.2000000000003</v>
      </c>
      <c r="G104" s="42">
        <f>'[4]Sheet 1'!$Z21*115%*130%</f>
        <v>0</v>
      </c>
      <c r="H104" s="12"/>
    </row>
    <row r="105" spans="1:8" ht="18.45" x14ac:dyDescent="0.25">
      <c r="A105" s="10" t="s">
        <v>359</v>
      </c>
      <c r="B105" s="11" t="s">
        <v>185</v>
      </c>
      <c r="C105" s="22">
        <v>1</v>
      </c>
      <c r="D105" s="21" t="s">
        <v>25</v>
      </c>
      <c r="E105" s="40">
        <f>'[4]Sheet 1'!$E22*115%*130%</f>
        <v>917.33199999999999</v>
      </c>
      <c r="F105" s="41">
        <f>'[4]Sheet 1'!$N22*115%*130%</f>
        <v>0</v>
      </c>
      <c r="G105" s="42">
        <f>'[4]Sheet 1'!$Z22*115%*130%</f>
        <v>0</v>
      </c>
      <c r="H105" s="12"/>
    </row>
    <row r="106" spans="1:8" ht="18.45" x14ac:dyDescent="0.25">
      <c r="A106" s="10" t="s">
        <v>360</v>
      </c>
      <c r="B106" s="11" t="s">
        <v>186</v>
      </c>
      <c r="C106" s="22">
        <v>1</v>
      </c>
      <c r="D106" s="21" t="s">
        <v>25</v>
      </c>
      <c r="E106" s="40">
        <f>'[4]Sheet 1'!$E23*115%*130%</f>
        <v>2734.355</v>
      </c>
      <c r="F106" s="41">
        <f>'[4]Sheet 1'!$N23*115%*130%</f>
        <v>1323.0749999999998</v>
      </c>
      <c r="G106" s="42">
        <f>'[4]Sheet 1'!$Z23*115%*130%</f>
        <v>0</v>
      </c>
      <c r="H106" s="12"/>
    </row>
    <row r="107" spans="1:8" ht="18.45" x14ac:dyDescent="0.25">
      <c r="A107" s="10" t="s">
        <v>361</v>
      </c>
      <c r="B107" s="11" t="s">
        <v>187</v>
      </c>
      <c r="C107" s="22">
        <v>1</v>
      </c>
      <c r="D107" s="21" t="s">
        <v>25</v>
      </c>
      <c r="E107" s="40">
        <f>'[4]Sheet 1'!$E24*115%*130%</f>
        <v>4145.6350000000002</v>
      </c>
      <c r="F107" s="41">
        <f>'[4]Sheet 1'!$N24*115%*130%</f>
        <v>0</v>
      </c>
      <c r="G107" s="42">
        <f>'[4]Sheet 1'!$Z24*115%*130%</f>
        <v>0</v>
      </c>
      <c r="H107" s="12"/>
    </row>
    <row r="108" spans="1:8" ht="18.45" x14ac:dyDescent="0.25">
      <c r="A108" s="10" t="s">
        <v>362</v>
      </c>
      <c r="B108" s="11" t="s">
        <v>188</v>
      </c>
      <c r="C108" s="22">
        <v>1</v>
      </c>
      <c r="D108" s="21" t="s">
        <v>25</v>
      </c>
      <c r="E108" s="40">
        <f>'[4]Sheet 1'!$E25*115%*130%</f>
        <v>0</v>
      </c>
      <c r="F108" s="41">
        <f>'[4]Sheet 1'!$N25*115%*130%</f>
        <v>3704.6099999999997</v>
      </c>
      <c r="G108" s="42">
        <f>'[4]Sheet 1'!$Z25*115%*130%</f>
        <v>0</v>
      </c>
      <c r="H108" s="12"/>
    </row>
    <row r="109" spans="1:8" ht="18.45" x14ac:dyDescent="0.25">
      <c r="A109" s="10" t="s">
        <v>363</v>
      </c>
      <c r="B109" s="11" t="s">
        <v>189</v>
      </c>
      <c r="C109" s="22">
        <v>1</v>
      </c>
      <c r="D109" s="21" t="s">
        <v>25</v>
      </c>
      <c r="E109" s="40">
        <f>'[4]Sheet 1'!$E26*115%*130%</f>
        <v>0</v>
      </c>
      <c r="F109" s="41">
        <f>'[4]Sheet 1'!$N26*115%*130%</f>
        <v>9349.73</v>
      </c>
      <c r="G109" s="42">
        <f>'[4]Sheet 1'!$Z26*115%*130%</f>
        <v>0</v>
      </c>
      <c r="H109" s="12"/>
    </row>
    <row r="110" spans="1:8" ht="18.45" x14ac:dyDescent="0.25">
      <c r="A110" s="10" t="s">
        <v>364</v>
      </c>
      <c r="B110" s="11" t="s">
        <v>190</v>
      </c>
      <c r="C110" s="22">
        <v>1</v>
      </c>
      <c r="D110" s="21" t="s">
        <v>25</v>
      </c>
      <c r="E110" s="40">
        <f>'[4]Sheet 1'!$E27*115%*130%</f>
        <v>0</v>
      </c>
      <c r="F110" s="41">
        <f>'[4]Sheet 1'!$N27*115%*130%</f>
        <v>10231.779999999999</v>
      </c>
      <c r="G110" s="42">
        <f>'[4]Sheet 1'!$Z27*115%*130%</f>
        <v>0</v>
      </c>
      <c r="H110" s="12"/>
    </row>
    <row r="111" spans="1:8" ht="18.45" x14ac:dyDescent="0.25">
      <c r="A111" s="10" t="s">
        <v>365</v>
      </c>
      <c r="B111" s="11" t="s">
        <v>191</v>
      </c>
      <c r="C111" s="22">
        <v>1</v>
      </c>
      <c r="D111" s="21" t="s">
        <v>25</v>
      </c>
      <c r="E111" s="40">
        <f>'[4]Sheet 1'!$E28*115%*130%</f>
        <v>0</v>
      </c>
      <c r="F111" s="41">
        <f>'[4]Sheet 1'!$N28*115%*130%</f>
        <v>0</v>
      </c>
      <c r="G111" s="42">
        <f>'[4]Sheet 1'!$Z28*115%*130%</f>
        <v>0</v>
      </c>
      <c r="H111" s="12"/>
    </row>
    <row r="112" spans="1:8" ht="18.45" x14ac:dyDescent="0.25">
      <c r="A112" s="10" t="s">
        <v>366</v>
      </c>
      <c r="B112" s="11" t="s">
        <v>192</v>
      </c>
      <c r="C112" s="22">
        <v>1</v>
      </c>
      <c r="D112" s="21" t="s">
        <v>25</v>
      </c>
      <c r="E112" s="40">
        <f>'[4]Sheet 1'!$E29*115%*130%</f>
        <v>0</v>
      </c>
      <c r="F112" s="41">
        <f>'[4]Sheet 1'!$N29*115%*130%</f>
        <v>0</v>
      </c>
      <c r="G112" s="42">
        <f>'[4]Sheet 1'!$Z29*115%*130%</f>
        <v>0</v>
      </c>
      <c r="H112" s="12"/>
    </row>
    <row r="113" spans="1:8" ht="18.45" x14ac:dyDescent="0.25">
      <c r="A113" s="10" t="s">
        <v>367</v>
      </c>
      <c r="B113" s="11" t="s">
        <v>193</v>
      </c>
      <c r="C113" s="22">
        <v>1</v>
      </c>
      <c r="D113" s="21" t="s">
        <v>25</v>
      </c>
      <c r="E113" s="40">
        <f>'[4]Sheet 1'!$E30*115%*130%</f>
        <v>0</v>
      </c>
      <c r="F113" s="41">
        <f>'[4]Sheet 1'!$N30*115%*130%</f>
        <v>1234.8700000000001</v>
      </c>
      <c r="G113" s="42">
        <f>'[4]Sheet 1'!$Z30*115%*130%</f>
        <v>0</v>
      </c>
      <c r="H113" s="12"/>
    </row>
    <row r="114" spans="1:8" ht="18.45" x14ac:dyDescent="0.25">
      <c r="A114" s="10" t="s">
        <v>368</v>
      </c>
      <c r="B114" s="11" t="s">
        <v>194</v>
      </c>
      <c r="C114" s="22">
        <v>1</v>
      </c>
      <c r="D114" s="21" t="s">
        <v>25</v>
      </c>
      <c r="E114" s="40">
        <f>'[4]Sheet 1'!$E31*115%*130%</f>
        <v>0</v>
      </c>
      <c r="F114" s="41">
        <f>'[4]Sheet 1'!$N31*115%*130%</f>
        <v>0</v>
      </c>
      <c r="G114" s="42">
        <f>'[4]Sheet 1'!$Z31*115%*130%</f>
        <v>0</v>
      </c>
      <c r="H114" s="12"/>
    </row>
    <row r="115" spans="1:8" ht="18.45" x14ac:dyDescent="0.25">
      <c r="A115" s="10" t="s">
        <v>369</v>
      </c>
      <c r="B115" s="11" t="s">
        <v>195</v>
      </c>
      <c r="C115" s="22">
        <v>1</v>
      </c>
      <c r="D115" s="21" t="s">
        <v>25</v>
      </c>
      <c r="E115" s="40">
        <f>'[4]Sheet 1'!$E32*115%*130%</f>
        <v>0</v>
      </c>
      <c r="F115" s="41">
        <f>'[4]Sheet 1'!$N32*115%*130%</f>
        <v>0</v>
      </c>
      <c r="G115" s="42">
        <f>'[4]Sheet 1'!$Z32*115%*130%</f>
        <v>0</v>
      </c>
      <c r="H115" s="12"/>
    </row>
    <row r="116" spans="1:8" ht="18.45" x14ac:dyDescent="0.25">
      <c r="A116" s="10" t="s">
        <v>370</v>
      </c>
      <c r="B116" s="11" t="s">
        <v>196</v>
      </c>
      <c r="C116" s="22">
        <v>1</v>
      </c>
      <c r="D116" s="21" t="s">
        <v>25</v>
      </c>
      <c r="E116" s="40">
        <f>'[4]Sheet 1'!$E33*115%*130%</f>
        <v>0</v>
      </c>
      <c r="F116" s="41">
        <f>'[4]Sheet 1'!$N33*115%*130%</f>
        <v>14377.414999999999</v>
      </c>
      <c r="G116" s="42">
        <f>'[4]Sheet 1'!$Z33*115%*130%</f>
        <v>35282</v>
      </c>
      <c r="H116" s="12"/>
    </row>
    <row r="117" spans="1:8" ht="18.45" x14ac:dyDescent="0.25">
      <c r="A117" s="10" t="s">
        <v>371</v>
      </c>
      <c r="B117" s="11" t="s">
        <v>197</v>
      </c>
      <c r="C117" s="22">
        <v>1</v>
      </c>
      <c r="D117" s="21" t="s">
        <v>25</v>
      </c>
      <c r="E117" s="40">
        <f>'[4]Sheet 1'!$E34*115%*130%</f>
        <v>0</v>
      </c>
      <c r="F117" s="41">
        <f>'[4]Sheet 1'!$N34*115%*130%</f>
        <v>17464.59</v>
      </c>
      <c r="G117" s="42">
        <f>'[4]Sheet 1'!$Z34*115%*130%</f>
        <v>70564</v>
      </c>
      <c r="H117" s="12"/>
    </row>
    <row r="118" spans="1:8" ht="18.45" x14ac:dyDescent="0.25">
      <c r="A118" s="10" t="s">
        <v>372</v>
      </c>
      <c r="B118" s="11" t="s">
        <v>198</v>
      </c>
      <c r="C118" s="22">
        <v>1</v>
      </c>
      <c r="D118" s="21" t="s">
        <v>25</v>
      </c>
      <c r="E118" s="40">
        <f>'[4]Sheet 1'!$E35*115%*130%</f>
        <v>21345.609999999997</v>
      </c>
      <c r="F118" s="41">
        <f>'[4]Sheet 1'!$N35*115%*130%</f>
        <v>6174.35</v>
      </c>
      <c r="G118" s="42">
        <f>'[4]Sheet 1'!$Z35*115%*130%</f>
        <v>8467.68</v>
      </c>
      <c r="H118" s="12"/>
    </row>
    <row r="119" spans="1:8" ht="18.45" x14ac:dyDescent="0.25">
      <c r="A119" s="10" t="s">
        <v>373</v>
      </c>
      <c r="B119" s="11" t="s">
        <v>199</v>
      </c>
      <c r="C119" s="22">
        <v>1</v>
      </c>
      <c r="D119" s="21" t="s">
        <v>25</v>
      </c>
      <c r="E119" s="40">
        <f>'[4]Sheet 1'!$E36*115%*130%</f>
        <v>46307.625</v>
      </c>
      <c r="F119" s="41">
        <f>'[4]Sheet 1'!$N36*115%*130%</f>
        <v>8114.86</v>
      </c>
      <c r="G119" s="42">
        <f>'[4]Sheet 1'!$Z36*115%*130%</f>
        <v>26461.5</v>
      </c>
      <c r="H119" s="12"/>
    </row>
    <row r="120" spans="1:8" ht="18.45" x14ac:dyDescent="0.25">
      <c r="A120" s="10" t="s">
        <v>374</v>
      </c>
      <c r="B120" s="11" t="s">
        <v>200</v>
      </c>
      <c r="C120" s="22">
        <v>1</v>
      </c>
      <c r="D120" s="21" t="s">
        <v>25</v>
      </c>
      <c r="E120" s="40">
        <f>'[4]Sheet 1'!$E37*115%*130%</f>
        <v>0</v>
      </c>
      <c r="F120" s="41">
        <f>'[4]Sheet 1'!$N37*115%*130%</f>
        <v>10231.779999999999</v>
      </c>
      <c r="G120" s="42">
        <f>'[4]Sheet 1'!$Z37*115%*130%</f>
        <v>61743.499999999993</v>
      </c>
      <c r="H120" s="12"/>
    </row>
    <row r="121" spans="1:8" ht="19.05" customHeight="1" x14ac:dyDescent="0.25">
      <c r="A121" s="10" t="s">
        <v>375</v>
      </c>
      <c r="B121" s="11" t="s">
        <v>201</v>
      </c>
      <c r="C121" s="22">
        <v>1</v>
      </c>
      <c r="D121" s="21" t="s">
        <v>25</v>
      </c>
      <c r="E121" s="40">
        <f>'[4]Sheet 1'!$E38*115%*130%</f>
        <v>0</v>
      </c>
      <c r="F121" s="41">
        <f>'[4]Sheet 1'!$N38*115%*130%</f>
        <v>0</v>
      </c>
      <c r="G121" s="42">
        <f>'[4]Sheet 1'!$Z38*115%*130%</f>
        <v>0</v>
      </c>
      <c r="H121" s="12"/>
    </row>
    <row r="122" spans="1:8" ht="18.45" x14ac:dyDescent="0.25">
      <c r="A122" s="10" t="s">
        <v>376</v>
      </c>
      <c r="B122" s="11" t="s">
        <v>202</v>
      </c>
      <c r="C122" s="22">
        <v>1</v>
      </c>
      <c r="D122" s="21" t="s">
        <v>25</v>
      </c>
      <c r="E122" s="40">
        <f>'[4]Sheet 1'!$E39*115%*130%</f>
        <v>0</v>
      </c>
      <c r="F122" s="41">
        <f>'[4]Sheet 1'!$N39*115%*130%</f>
        <v>34399.949999999997</v>
      </c>
      <c r="G122" s="42">
        <f>'[4]Sheet 1'!$Z39*115%*130%</f>
        <v>0</v>
      </c>
      <c r="H122" s="12"/>
    </row>
    <row r="123" spans="1:8" ht="18.45" x14ac:dyDescent="0.25">
      <c r="A123" s="10" t="s">
        <v>377</v>
      </c>
      <c r="B123" s="11" t="s">
        <v>203</v>
      </c>
      <c r="C123" s="22">
        <v>1</v>
      </c>
      <c r="D123" s="21" t="s">
        <v>25</v>
      </c>
      <c r="E123" s="40">
        <f>'[4]Sheet 1'!$E40*115%*130%</f>
        <v>0</v>
      </c>
      <c r="F123" s="41">
        <f>'[4]Sheet 1'!$N40*115%*130%</f>
        <v>0</v>
      </c>
      <c r="G123" s="42">
        <f>'[4]Sheet 1'!$Z40*115%*130%</f>
        <v>0</v>
      </c>
      <c r="H123" s="12"/>
    </row>
    <row r="124" spans="1:8" ht="18.45" x14ac:dyDescent="0.25">
      <c r="A124" s="10" t="s">
        <v>378</v>
      </c>
      <c r="B124" s="11" t="s">
        <v>204</v>
      </c>
      <c r="C124" s="22">
        <v>1</v>
      </c>
      <c r="D124" s="21" t="s">
        <v>25</v>
      </c>
      <c r="E124" s="40">
        <f>'[4]Sheet 1'!$E41*115%*130%</f>
        <v>0</v>
      </c>
      <c r="F124" s="41">
        <f>'[4]Sheet 1'!$N41*115%*130%</f>
        <v>0</v>
      </c>
      <c r="G124" s="42">
        <f>'[4]Sheet 1'!$Z41*115%*130%</f>
        <v>0</v>
      </c>
      <c r="H124" s="12"/>
    </row>
    <row r="125" spans="1:8" ht="18.45" x14ac:dyDescent="0.25">
      <c r="A125" s="10" t="s">
        <v>379</v>
      </c>
      <c r="B125" s="11" t="s">
        <v>205</v>
      </c>
      <c r="C125" s="22">
        <v>1</v>
      </c>
      <c r="D125" s="21" t="s">
        <v>25</v>
      </c>
      <c r="E125" s="40">
        <f>'[4]Sheet 1'!$E42*115%*130%</f>
        <v>0</v>
      </c>
      <c r="F125" s="41">
        <f>'[4]Sheet 1'!$N42*115%*130%</f>
        <v>8820.5</v>
      </c>
      <c r="G125" s="42">
        <f>'[4]Sheet 1'!$Z42*115%*130%</f>
        <v>0</v>
      </c>
      <c r="H125" s="12"/>
    </row>
    <row r="126" spans="1:8" ht="18.45" x14ac:dyDescent="0.25">
      <c r="A126" s="10" t="s">
        <v>380</v>
      </c>
      <c r="B126" s="11" t="s">
        <v>206</v>
      </c>
      <c r="C126" s="22">
        <v>1</v>
      </c>
      <c r="D126" s="21" t="s">
        <v>25</v>
      </c>
      <c r="E126" s="40">
        <f>'[4]Sheet 1'!$E43*115%*130%</f>
        <v>0</v>
      </c>
      <c r="F126" s="41">
        <f>'[4]Sheet 1'!$N43*115%*130%</f>
        <v>0</v>
      </c>
      <c r="G126" s="42">
        <f>'[4]Sheet 1'!$Z43*115%*130%</f>
        <v>0</v>
      </c>
      <c r="H126" s="12"/>
    </row>
    <row r="127" spans="1:8" ht="18.45" x14ac:dyDescent="0.25">
      <c r="A127" s="10" t="s">
        <v>381</v>
      </c>
      <c r="B127" s="11" t="s">
        <v>207</v>
      </c>
      <c r="C127" s="22">
        <v>1</v>
      </c>
      <c r="D127" s="21" t="s">
        <v>25</v>
      </c>
      <c r="E127" s="40">
        <f>'[4]Sheet 1'!$E44*115%*130%</f>
        <v>0</v>
      </c>
      <c r="F127" s="41">
        <f>'[4]Sheet 1'!$N44*115%*130%</f>
        <v>0</v>
      </c>
      <c r="G127" s="42">
        <f>'[4]Sheet 1'!$Z44*115%*130%</f>
        <v>0</v>
      </c>
      <c r="H127" s="12"/>
    </row>
    <row r="128" spans="1:8" ht="18.45" x14ac:dyDescent="0.25">
      <c r="A128" s="10" t="s">
        <v>382</v>
      </c>
      <c r="B128" s="11" t="s">
        <v>208</v>
      </c>
      <c r="C128" s="22">
        <v>1</v>
      </c>
      <c r="D128" s="21" t="s">
        <v>25</v>
      </c>
      <c r="E128" s="40">
        <f>'[4]Sheet 1'!$E45*115%*130%</f>
        <v>0</v>
      </c>
      <c r="F128" s="41">
        <f>'[4]Sheet 1'!$N45*115%*130%</f>
        <v>6174.35</v>
      </c>
      <c r="G128" s="42">
        <f>'[4]Sheet 1'!$Z45*115%*130%</f>
        <v>7938.4499999999989</v>
      </c>
      <c r="H128" s="12"/>
    </row>
    <row r="129" spans="1:8" ht="18.45" x14ac:dyDescent="0.25">
      <c r="A129" s="10" t="s">
        <v>383</v>
      </c>
      <c r="B129" s="11" t="s">
        <v>209</v>
      </c>
      <c r="C129" s="22">
        <v>1</v>
      </c>
      <c r="D129" s="21" t="s">
        <v>25</v>
      </c>
      <c r="E129" s="40">
        <f>'[4]Sheet 1'!$E46*115%*130%</f>
        <v>0</v>
      </c>
      <c r="F129" s="41">
        <f>'[4]Sheet 1'!$N46*115%*130%</f>
        <v>17817.41</v>
      </c>
      <c r="G129" s="42">
        <f>'[4]Sheet 1'!$Z46*115%*130%</f>
        <v>0</v>
      </c>
      <c r="H129" s="12"/>
    </row>
    <row r="130" spans="1:8" ht="19.05" thickBot="1" x14ac:dyDescent="0.3">
      <c r="A130" s="10" t="s">
        <v>384</v>
      </c>
      <c r="B130" s="11" t="s">
        <v>210</v>
      </c>
      <c r="C130" s="22">
        <v>1</v>
      </c>
      <c r="D130" s="21" t="s">
        <v>25</v>
      </c>
      <c r="E130" s="40">
        <f>'[4]Sheet 1'!$E47*115%*130%</f>
        <v>0</v>
      </c>
      <c r="F130" s="41">
        <f>'[4]Sheet 1'!$N47*115%*130%</f>
        <v>0</v>
      </c>
      <c r="G130" s="42">
        <f>'[4]Sheet 1'!$Z47*115%*130%</f>
        <v>79384.5</v>
      </c>
      <c r="H130" s="12"/>
    </row>
    <row r="131" spans="1:8" ht="20.75" thickBot="1" x14ac:dyDescent="0.3">
      <c r="A131" s="3"/>
      <c r="B131" s="86" t="s">
        <v>214</v>
      </c>
      <c r="C131" s="87"/>
      <c r="D131" s="88"/>
      <c r="E131" s="45">
        <f>SUM(E94:E130)</f>
        <v>83459.570999999996</v>
      </c>
      <c r="F131" s="45">
        <f>SUM(F94:F130)</f>
        <v>157551.77100000001</v>
      </c>
      <c r="G131" s="45">
        <f>SUM(G94:G130)</f>
        <v>306953.40000000002</v>
      </c>
      <c r="H131" s="43"/>
    </row>
    <row r="132" spans="1:8" ht="16.149999999999999" hidden="1" thickBot="1" x14ac:dyDescent="0.3">
      <c r="A132" s="3"/>
      <c r="B132" s="89" t="s">
        <v>32</v>
      </c>
      <c r="C132" s="90"/>
      <c r="D132" s="44">
        <v>0.18</v>
      </c>
      <c r="E132" s="46">
        <f>E131*$D132</f>
        <v>15022.722779999998</v>
      </c>
      <c r="F132" s="46">
        <f>F131*$D132</f>
        <v>28359.318780000001</v>
      </c>
      <c r="G132" s="46">
        <f>G131*$D132</f>
        <v>55251.612000000001</v>
      </c>
      <c r="H132" s="39"/>
    </row>
    <row r="133" spans="1:8" ht="16.149999999999999" hidden="1" thickBot="1" x14ac:dyDescent="0.3">
      <c r="A133" s="3"/>
      <c r="B133" s="89" t="s">
        <v>33</v>
      </c>
      <c r="C133" s="90"/>
      <c r="D133" s="99"/>
      <c r="E133" s="47">
        <f>E132+E131</f>
        <v>98482.293779999993</v>
      </c>
      <c r="F133" s="47">
        <f>F132+F131</f>
        <v>185911.08978000001</v>
      </c>
      <c r="G133" s="47">
        <f>G132+G131</f>
        <v>362205.01200000005</v>
      </c>
      <c r="H133" s="6"/>
    </row>
    <row r="134" spans="1:8" ht="16.149999999999999" hidden="1" thickBot="1" x14ac:dyDescent="0.3">
      <c r="A134" s="3"/>
      <c r="B134" s="89" t="s">
        <v>129</v>
      </c>
      <c r="C134" s="90"/>
      <c r="D134" s="44">
        <v>0.05</v>
      </c>
      <c r="E134" s="4">
        <f>E133*$D134</f>
        <v>4924.114689</v>
      </c>
      <c r="F134" s="4">
        <f>F133*$D134</f>
        <v>9295.5544890000001</v>
      </c>
      <c r="G134" s="4">
        <f>G133*$D134</f>
        <v>18110.250600000003</v>
      </c>
      <c r="H134" s="5"/>
    </row>
    <row r="135" spans="1:8" ht="20.75" hidden="1" customHeight="1" thickBot="1" x14ac:dyDescent="0.3">
      <c r="A135" s="3"/>
      <c r="B135" s="100" t="s">
        <v>215</v>
      </c>
      <c r="C135" s="101"/>
      <c r="D135" s="102"/>
      <c r="E135" s="67">
        <f>E133-E134</f>
        <v>93558.179090999998</v>
      </c>
      <c r="F135" s="67">
        <f>F133-F134</f>
        <v>176615.53529100001</v>
      </c>
      <c r="G135" s="67">
        <f>G133-G134</f>
        <v>344094.76140000002</v>
      </c>
      <c r="H135" s="68"/>
    </row>
    <row r="136" spans="1:8" ht="20.75" thickBot="1" x14ac:dyDescent="0.3">
      <c r="A136" s="79" t="s">
        <v>100</v>
      </c>
      <c r="B136" s="96" t="s">
        <v>99</v>
      </c>
      <c r="C136" s="97"/>
      <c r="D136" s="98"/>
      <c r="E136" s="24" t="s">
        <v>238</v>
      </c>
      <c r="F136" s="24" t="s">
        <v>64</v>
      </c>
      <c r="G136" s="24" t="s">
        <v>241</v>
      </c>
      <c r="H136" s="24"/>
    </row>
    <row r="137" spans="1:8" ht="18.45" x14ac:dyDescent="0.25">
      <c r="A137" s="10" t="s">
        <v>385</v>
      </c>
      <c r="B137" s="11" t="s">
        <v>216</v>
      </c>
      <c r="C137" s="22">
        <v>1</v>
      </c>
      <c r="D137" s="21" t="s">
        <v>25</v>
      </c>
      <c r="E137" s="40">
        <f>'[5]Sheet 1'!$E11*115%*130%</f>
        <v>970.25499999999988</v>
      </c>
      <c r="F137" s="41">
        <f>'[5]Sheet 1'!$N11*115%*130%</f>
        <v>661.53749999999991</v>
      </c>
      <c r="G137" s="42">
        <f>'[5]Sheet 1'!$W11*115%*130%</f>
        <v>0</v>
      </c>
      <c r="H137" s="12">
        <v>0</v>
      </c>
    </row>
    <row r="138" spans="1:8" ht="18.45" x14ac:dyDescent="0.25">
      <c r="A138" s="10" t="s">
        <v>386</v>
      </c>
      <c r="B138" s="11" t="s">
        <v>217</v>
      </c>
      <c r="C138" s="22">
        <v>1</v>
      </c>
      <c r="D138" s="21" t="s">
        <v>25</v>
      </c>
      <c r="E138" s="40">
        <f>'[5]Sheet 1'!$E12*115%*130%</f>
        <v>1499.4849999999999</v>
      </c>
      <c r="F138" s="41">
        <f>'[5]Sheet 1'!$N12*115%*130%</f>
        <v>793.84500000000003</v>
      </c>
      <c r="G138" s="42">
        <f>'[5]Sheet 1'!$W12*115%*130%</f>
        <v>0</v>
      </c>
      <c r="H138" s="12">
        <v>0</v>
      </c>
    </row>
    <row r="139" spans="1:8" ht="18.45" x14ac:dyDescent="0.25">
      <c r="A139" s="10" t="s">
        <v>387</v>
      </c>
      <c r="B139" s="11" t="s">
        <v>218</v>
      </c>
      <c r="C139" s="22">
        <v>1</v>
      </c>
      <c r="D139" s="21" t="s">
        <v>25</v>
      </c>
      <c r="E139" s="40">
        <f>'[5]Sheet 1'!$E13*115%*130%</f>
        <v>2399.1759999999999</v>
      </c>
      <c r="F139" s="41">
        <f>'[5]Sheet 1'!$N13*115%*130%</f>
        <v>952.61400000000003</v>
      </c>
      <c r="G139" s="42">
        <f>'[5]Sheet 1'!$W13*115%*130%</f>
        <v>0</v>
      </c>
      <c r="H139" s="12">
        <v>0</v>
      </c>
    </row>
    <row r="140" spans="1:8" ht="18.45" x14ac:dyDescent="0.25">
      <c r="A140" s="10" t="s">
        <v>388</v>
      </c>
      <c r="B140" s="11" t="s">
        <v>219</v>
      </c>
      <c r="C140" s="22">
        <v>1</v>
      </c>
      <c r="D140" s="21" t="s">
        <v>25</v>
      </c>
      <c r="E140" s="40">
        <f>'[5]Sheet 1'!$E14*115%*130%</f>
        <v>3510.5589999999993</v>
      </c>
      <c r="F140" s="41">
        <f>'[5]Sheet 1'!$N14*115%*130%</f>
        <v>1164.3059999999998</v>
      </c>
      <c r="G140" s="42">
        <f>'[5]Sheet 1'!$W14*115%*130%</f>
        <v>0</v>
      </c>
      <c r="H140" s="12">
        <v>0</v>
      </c>
    </row>
    <row r="141" spans="1:8" ht="18.45" x14ac:dyDescent="0.25">
      <c r="A141" s="10" t="s">
        <v>389</v>
      </c>
      <c r="B141" s="11" t="s">
        <v>220</v>
      </c>
      <c r="C141" s="22">
        <v>1</v>
      </c>
      <c r="D141" s="21" t="s">
        <v>25</v>
      </c>
      <c r="E141" s="40">
        <f>'[5]Sheet 1'!$E15*115%*130%</f>
        <v>5733.3249999999998</v>
      </c>
      <c r="F141" s="41">
        <f>'[5]Sheet 1'!$N15*115%*130%</f>
        <v>1746.4589999999998</v>
      </c>
      <c r="G141" s="42">
        <f>'[5]Sheet 1'!$W15*115%*130%</f>
        <v>0</v>
      </c>
      <c r="H141" s="12">
        <v>0</v>
      </c>
    </row>
    <row r="142" spans="1:8" ht="18.45" x14ac:dyDescent="0.25">
      <c r="A142" s="10" t="s">
        <v>390</v>
      </c>
      <c r="B142" s="11" t="s">
        <v>221</v>
      </c>
      <c r="C142" s="22">
        <v>1</v>
      </c>
      <c r="D142" s="21" t="s">
        <v>25</v>
      </c>
      <c r="E142" s="40">
        <f>'[5]Sheet 1'!$E16*115%*130%</f>
        <v>2557.9449999999997</v>
      </c>
      <c r="F142" s="41">
        <f>'[5]Sheet 1'!$N16*115%*130%</f>
        <v>2293.33</v>
      </c>
      <c r="G142" s="42">
        <f>'[5]Sheet 1'!$W16*115%*130%</f>
        <v>0</v>
      </c>
      <c r="H142" s="12">
        <v>0</v>
      </c>
    </row>
    <row r="143" spans="1:8" ht="18.45" x14ac:dyDescent="0.25">
      <c r="A143" s="10" t="s">
        <v>391</v>
      </c>
      <c r="B143" s="11" t="s">
        <v>222</v>
      </c>
      <c r="C143" s="22">
        <v>1</v>
      </c>
      <c r="D143" s="21" t="s">
        <v>25</v>
      </c>
      <c r="E143" s="40">
        <f>'[5]Sheet 1'!$E17*115%*130%</f>
        <v>1958.1509999999998</v>
      </c>
      <c r="F143" s="41">
        <f>'[5]Sheet 1'!$N17*115%*130%</f>
        <v>1940.5099999999998</v>
      </c>
      <c r="G143" s="42">
        <f>'[5]Sheet 1'!$W17*115%*130%</f>
        <v>0</v>
      </c>
      <c r="H143" s="12">
        <v>0</v>
      </c>
    </row>
    <row r="144" spans="1:8" ht="36.9" x14ac:dyDescent="0.25">
      <c r="A144" s="10" t="s">
        <v>392</v>
      </c>
      <c r="B144" s="11" t="s">
        <v>223</v>
      </c>
      <c r="C144" s="22">
        <v>1</v>
      </c>
      <c r="D144" s="21" t="s">
        <v>25</v>
      </c>
      <c r="E144" s="40">
        <f>'[5]Sheet 1'!$E18*115%*130%</f>
        <v>1764.1000000000001</v>
      </c>
      <c r="F144" s="41">
        <f>'[5]Sheet 1'!$N18*115%*130%</f>
        <v>1499.4849999999999</v>
      </c>
      <c r="G144" s="42">
        <f>'[5]Sheet 1'!$W18*115%*130%</f>
        <v>0</v>
      </c>
      <c r="H144" s="12">
        <v>0</v>
      </c>
    </row>
    <row r="145" spans="1:8" ht="18.45" x14ac:dyDescent="0.25">
      <c r="A145" s="10" t="s">
        <v>393</v>
      </c>
      <c r="B145" s="11" t="s">
        <v>224</v>
      </c>
      <c r="C145" s="22">
        <v>1</v>
      </c>
      <c r="D145" s="21" t="s">
        <v>25</v>
      </c>
      <c r="E145" s="40">
        <f>'[5]Sheet 1'!$E19*115%*130%</f>
        <v>0</v>
      </c>
      <c r="F145" s="41">
        <f>'[5]Sheet 1'!$N19*115%*130%</f>
        <v>882.05000000000007</v>
      </c>
      <c r="G145" s="42">
        <f>'[5]Sheet 1'!$W19*115%*130%</f>
        <v>0</v>
      </c>
      <c r="H145" s="12">
        <v>0</v>
      </c>
    </row>
    <row r="146" spans="1:8" ht="19.05" thickBot="1" x14ac:dyDescent="0.3">
      <c r="A146" s="10" t="s">
        <v>394</v>
      </c>
      <c r="B146" s="11" t="s">
        <v>225</v>
      </c>
      <c r="C146" s="22">
        <v>1</v>
      </c>
      <c r="D146" s="21" t="s">
        <v>25</v>
      </c>
      <c r="E146" s="40">
        <f>'[5]Sheet 1'!$E20*115%*130%</f>
        <v>1896.4074999999998</v>
      </c>
      <c r="F146" s="41">
        <f>'[5]Sheet 1'!$N20*115%*130%</f>
        <v>1587.69</v>
      </c>
      <c r="G146" s="42">
        <f>'[5]Sheet 1'!$W20*115%*130%</f>
        <v>0</v>
      </c>
      <c r="H146" s="12">
        <v>0</v>
      </c>
    </row>
    <row r="147" spans="1:8" ht="20.75" thickBot="1" x14ac:dyDescent="0.3">
      <c r="A147" s="3"/>
      <c r="B147" s="86" t="s">
        <v>245</v>
      </c>
      <c r="C147" s="87"/>
      <c r="D147" s="88"/>
      <c r="E147" s="45">
        <f>SUM(E137:E146)</f>
        <v>22289.4035</v>
      </c>
      <c r="F147" s="45">
        <f>SUM(F137:F146)</f>
        <v>13521.826499999999</v>
      </c>
      <c r="G147" s="45">
        <f>SUM(G137:G146)</f>
        <v>0</v>
      </c>
      <c r="H147" s="45">
        <f>SUM(H137:H146)</f>
        <v>0</v>
      </c>
    </row>
    <row r="148" spans="1:8" ht="16.149999999999999" hidden="1" thickBot="1" x14ac:dyDescent="0.3">
      <c r="A148" s="3"/>
      <c r="B148" s="89" t="s">
        <v>32</v>
      </c>
      <c r="C148" s="90"/>
      <c r="D148" s="44">
        <v>0.18</v>
      </c>
      <c r="E148" s="46">
        <f>E147*$D148</f>
        <v>4012.0926300000001</v>
      </c>
      <c r="F148" s="46">
        <f>F147*$D148</f>
        <v>2433.92877</v>
      </c>
      <c r="G148" s="46">
        <f>G147*$D148</f>
        <v>0</v>
      </c>
      <c r="H148" s="46">
        <f>H147*$D148</f>
        <v>0</v>
      </c>
    </row>
    <row r="149" spans="1:8" ht="16.149999999999999" hidden="1" thickBot="1" x14ac:dyDescent="0.3">
      <c r="A149" s="3"/>
      <c r="B149" s="89" t="s">
        <v>33</v>
      </c>
      <c r="C149" s="90"/>
      <c r="D149" s="99"/>
      <c r="E149" s="47">
        <f>E148+E147</f>
        <v>26301.49613</v>
      </c>
      <c r="F149" s="47">
        <f>F148+F147</f>
        <v>15955.75527</v>
      </c>
      <c r="G149" s="47">
        <f>G148+G147</f>
        <v>0</v>
      </c>
      <c r="H149" s="47">
        <f>H148+H147</f>
        <v>0</v>
      </c>
    </row>
    <row r="150" spans="1:8" ht="16.149999999999999" hidden="1" thickBot="1" x14ac:dyDescent="0.3">
      <c r="A150" s="3"/>
      <c r="B150" s="89" t="s">
        <v>129</v>
      </c>
      <c r="C150" s="90"/>
      <c r="D150" s="44">
        <v>0.05</v>
      </c>
      <c r="E150" s="4">
        <f>E149*$D150</f>
        <v>1315.0748065</v>
      </c>
      <c r="F150" s="4">
        <f>F149*$D150</f>
        <v>797.78776349999998</v>
      </c>
      <c r="G150" s="4">
        <f>G149*$D150</f>
        <v>0</v>
      </c>
      <c r="H150" s="4">
        <f>H149*$D150</f>
        <v>0</v>
      </c>
    </row>
    <row r="151" spans="1:8" ht="20.75" hidden="1" customHeight="1" thickBot="1" x14ac:dyDescent="0.3">
      <c r="A151" s="3"/>
      <c r="B151" s="100" t="s">
        <v>246</v>
      </c>
      <c r="C151" s="101"/>
      <c r="D151" s="102"/>
      <c r="E151" s="67">
        <f>E149-E150</f>
        <v>24986.421323499999</v>
      </c>
      <c r="F151" s="67">
        <f>F149-F150</f>
        <v>15157.967506499999</v>
      </c>
      <c r="G151" s="67">
        <f>G149-G150</f>
        <v>0</v>
      </c>
      <c r="H151" s="67">
        <f>H149-H150</f>
        <v>0</v>
      </c>
    </row>
    <row r="152" spans="1:8" ht="20.75" thickBot="1" x14ac:dyDescent="0.3">
      <c r="A152" s="79" t="s">
        <v>101</v>
      </c>
      <c r="B152" s="96" t="s">
        <v>102</v>
      </c>
      <c r="C152" s="97"/>
      <c r="D152" s="98"/>
      <c r="E152" s="24" t="s">
        <v>127</v>
      </c>
      <c r="F152" s="24" t="s">
        <v>128</v>
      </c>
      <c r="G152" s="24" t="s">
        <v>247</v>
      </c>
      <c r="H152" s="24"/>
    </row>
    <row r="153" spans="1:8" ht="18.45" x14ac:dyDescent="0.25">
      <c r="A153" s="10" t="s">
        <v>395</v>
      </c>
      <c r="B153" s="11" t="s">
        <v>115</v>
      </c>
      <c r="C153" s="22">
        <v>1</v>
      </c>
      <c r="D153" s="21" t="s">
        <v>25</v>
      </c>
      <c r="E153" s="40">
        <f>'[6]Sheet 1'!$E11*115%*130%</f>
        <v>8282.4495000000006</v>
      </c>
      <c r="F153" s="41">
        <f>'[6]Sheet 1'!$N11*115%*130%</f>
        <v>8732.2950000000001</v>
      </c>
      <c r="G153" s="42">
        <f>'[6]Sheet 1'!$W11*115%*130%</f>
        <v>7956.0909999999994</v>
      </c>
      <c r="H153" s="12">
        <v>0</v>
      </c>
    </row>
    <row r="154" spans="1:8" ht="18.45" x14ac:dyDescent="0.25">
      <c r="A154" s="10" t="s">
        <v>396</v>
      </c>
      <c r="B154" s="11" t="s">
        <v>116</v>
      </c>
      <c r="C154" s="22">
        <v>1</v>
      </c>
      <c r="D154" s="21" t="s">
        <v>25</v>
      </c>
      <c r="E154" s="40">
        <f>'[6]Sheet 1'!$E12*115%*130%</f>
        <v>10222.959499999999</v>
      </c>
      <c r="F154" s="41">
        <f>'[6]Sheet 1'!$N12*115%*130%</f>
        <v>11113.829999999998</v>
      </c>
      <c r="G154" s="42">
        <f>'[6]Sheet 1'!$W12*115%*130%</f>
        <v>9826.0370000000003</v>
      </c>
      <c r="H154" s="12">
        <v>0</v>
      </c>
    </row>
    <row r="155" spans="1:8" ht="18.45" x14ac:dyDescent="0.25">
      <c r="A155" s="10" t="s">
        <v>397</v>
      </c>
      <c r="B155" s="11" t="s">
        <v>117</v>
      </c>
      <c r="C155" s="22">
        <v>1</v>
      </c>
      <c r="D155" s="21" t="s">
        <v>25</v>
      </c>
      <c r="E155" s="40">
        <f>'[6]Sheet 1'!$E13*115%*130%</f>
        <v>17102.949499999999</v>
      </c>
      <c r="F155" s="41">
        <f>'[6]Sheet 1'!$N13*115%*130%</f>
        <v>18082.024999999998</v>
      </c>
      <c r="G155" s="42">
        <f>'[6]Sheet 1'!$W13*115%*130%</f>
        <v>16229.72</v>
      </c>
      <c r="H155" s="12">
        <v>0</v>
      </c>
    </row>
    <row r="156" spans="1:8" ht="18.45" x14ac:dyDescent="0.25">
      <c r="A156" s="10" t="s">
        <v>398</v>
      </c>
      <c r="B156" s="11" t="s">
        <v>118</v>
      </c>
      <c r="C156" s="22">
        <v>1</v>
      </c>
      <c r="D156" s="21" t="s">
        <v>25</v>
      </c>
      <c r="E156" s="40">
        <f>'[6]Sheet 1'!$E14*115%*130%</f>
        <v>21336.789500000003</v>
      </c>
      <c r="F156" s="41">
        <f>'[6]Sheet 1'!$N14*115%*130%</f>
        <v>21698.43</v>
      </c>
      <c r="G156" s="42">
        <f>'[6]Sheet 1'!$W14*115%*130%</f>
        <v>19934.329999999998</v>
      </c>
      <c r="H156" s="12">
        <v>0</v>
      </c>
    </row>
    <row r="157" spans="1:8" ht="18.45" x14ac:dyDescent="0.25">
      <c r="A157" s="10" t="s">
        <v>399</v>
      </c>
      <c r="B157" s="11" t="s">
        <v>119</v>
      </c>
      <c r="C157" s="22">
        <v>1</v>
      </c>
      <c r="D157" s="21" t="s">
        <v>25</v>
      </c>
      <c r="E157" s="40">
        <f>'[6]Sheet 1'!$E15*115%*130%</f>
        <v>8458.8595000000005</v>
      </c>
      <c r="F157" s="41">
        <f>'[6]Sheet 1'!$N15*115%*130%</f>
        <v>8644.09</v>
      </c>
      <c r="G157" s="42">
        <f>'[6]Sheet 1'!$W15*115%*130%</f>
        <v>8185.424</v>
      </c>
      <c r="H157" s="12">
        <v>0</v>
      </c>
    </row>
    <row r="158" spans="1:8" ht="18.45" x14ac:dyDescent="0.25">
      <c r="A158" s="10" t="s">
        <v>400</v>
      </c>
      <c r="B158" s="11" t="s">
        <v>120</v>
      </c>
      <c r="C158" s="22">
        <v>1</v>
      </c>
      <c r="D158" s="21" t="s">
        <v>25</v>
      </c>
      <c r="E158" s="40">
        <f>'[6]Sheet 1'!$E16*115%*130%</f>
        <v>8811.6795000000002</v>
      </c>
      <c r="F158" s="41">
        <f>'[6]Sheet 1'!$N16*115%*130%</f>
        <v>8996.91</v>
      </c>
      <c r="G158" s="42">
        <f>'[6]Sheet 1'!$W16*115%*130%</f>
        <v>8361.8339999999989</v>
      </c>
      <c r="H158" s="12">
        <v>0</v>
      </c>
    </row>
    <row r="159" spans="1:8" ht="18.45" x14ac:dyDescent="0.25">
      <c r="A159" s="10" t="s">
        <v>401</v>
      </c>
      <c r="B159" s="11" t="s">
        <v>121</v>
      </c>
      <c r="C159" s="22">
        <v>1</v>
      </c>
      <c r="D159" s="21" t="s">
        <v>25</v>
      </c>
      <c r="E159" s="40">
        <f>'[6]Sheet 1'!$E17*115%*130%</f>
        <v>9340.9094999999998</v>
      </c>
      <c r="F159" s="41">
        <f>'[6]Sheet 1'!$N17*115%*130%</f>
        <v>9526.14</v>
      </c>
      <c r="G159" s="42">
        <f>'[6]Sheet 1'!$W17*115%*130%</f>
        <v>9208.6020000000008</v>
      </c>
      <c r="H159" s="12">
        <v>0</v>
      </c>
    </row>
    <row r="160" spans="1:8" ht="18.45" x14ac:dyDescent="0.25">
      <c r="A160" s="10" t="s">
        <v>402</v>
      </c>
      <c r="B160" s="11" t="s">
        <v>122</v>
      </c>
      <c r="C160" s="22">
        <v>1</v>
      </c>
      <c r="D160" s="21" t="s">
        <v>25</v>
      </c>
      <c r="E160" s="40">
        <f>'[6]Sheet 1'!$E18*115%*130%</f>
        <v>17632.179500000002</v>
      </c>
      <c r="F160" s="41">
        <f>'[6]Sheet 1'!$N18*115%*130%</f>
        <v>16758.949999999997</v>
      </c>
      <c r="G160" s="42">
        <f>'[6]Sheet 1'!$W18*115%*130%</f>
        <v>17658.641</v>
      </c>
      <c r="H160" s="12">
        <v>0</v>
      </c>
    </row>
    <row r="161" spans="1:8" ht="18.45" x14ac:dyDescent="0.25">
      <c r="A161" s="10" t="s">
        <v>403</v>
      </c>
      <c r="B161" s="11" t="s">
        <v>123</v>
      </c>
      <c r="C161" s="22">
        <v>1</v>
      </c>
      <c r="D161" s="21" t="s">
        <v>25</v>
      </c>
      <c r="E161" s="40">
        <f>'[6]Sheet 1'!$E19*115%*130%</f>
        <v>22924.479500000001</v>
      </c>
      <c r="F161" s="41">
        <f>'[6]Sheet 1'!$N19*115%*130%</f>
        <v>32459.439999999999</v>
      </c>
      <c r="G161" s="42">
        <f>'[6]Sheet 1'!$W19*115%*130%</f>
        <v>21548.481500000002</v>
      </c>
      <c r="H161" s="12">
        <v>0</v>
      </c>
    </row>
    <row r="162" spans="1:8" ht="18.45" x14ac:dyDescent="0.25">
      <c r="A162" s="10" t="s">
        <v>404</v>
      </c>
      <c r="B162" s="11" t="s">
        <v>124</v>
      </c>
      <c r="C162" s="22">
        <v>1</v>
      </c>
      <c r="D162" s="21" t="s">
        <v>25</v>
      </c>
      <c r="E162" s="40">
        <f>'[6]Sheet 1'!$E20*115%*130%</f>
        <v>14280.389499999999</v>
      </c>
      <c r="F162" s="41">
        <f>'[6]Sheet 1'!$N20*115%*130%</f>
        <v>15876.899999999998</v>
      </c>
      <c r="G162" s="42">
        <f>'[6]Sheet 1'!$W20*115%*130%</f>
        <v>13848.184999999999</v>
      </c>
      <c r="H162" s="12">
        <v>0</v>
      </c>
    </row>
    <row r="163" spans="1:8" ht="18.45" x14ac:dyDescent="0.25">
      <c r="A163" s="10" t="s">
        <v>405</v>
      </c>
      <c r="B163" s="11" t="s">
        <v>125</v>
      </c>
      <c r="C163" s="22">
        <v>1</v>
      </c>
      <c r="D163" s="21" t="s">
        <v>25</v>
      </c>
      <c r="E163" s="40">
        <f>'[6]Sheet 1'!$E21*115%*130%</f>
        <v>14933.1065</v>
      </c>
      <c r="F163" s="41">
        <f>'[6]Sheet 1'!$N21*115%*130%</f>
        <v>21874.84</v>
      </c>
      <c r="G163" s="42">
        <f>'[6]Sheet 1'!$W21*115%*130%</f>
        <v>0</v>
      </c>
      <c r="H163" s="12">
        <v>0</v>
      </c>
    </row>
    <row r="164" spans="1:8" ht="19.05" thickBot="1" x14ac:dyDescent="0.3">
      <c r="A164" s="10" t="s">
        <v>406</v>
      </c>
      <c r="B164" s="11" t="s">
        <v>126</v>
      </c>
      <c r="C164" s="22">
        <v>1</v>
      </c>
      <c r="D164" s="21" t="s">
        <v>25</v>
      </c>
      <c r="E164" s="40">
        <f>'[6]Sheet 1'!$E22*115%*130%</f>
        <v>26461.5</v>
      </c>
      <c r="F164" s="41">
        <f>'[6]Sheet 1'!$N22*115%*130%</f>
        <v>29989.7</v>
      </c>
      <c r="G164" s="42">
        <f>'[6]Sheet 1'!$W22*115%*130%</f>
        <v>25658.834499999994</v>
      </c>
      <c r="H164" s="12">
        <v>0</v>
      </c>
    </row>
    <row r="165" spans="1:8" ht="20.75" thickBot="1" x14ac:dyDescent="0.3">
      <c r="A165" s="3"/>
      <c r="B165" s="86" t="s">
        <v>130</v>
      </c>
      <c r="C165" s="87"/>
      <c r="D165" s="88"/>
      <c r="E165" s="45">
        <f>SUM(E153:E164)</f>
        <v>179788.25149999998</v>
      </c>
      <c r="F165" s="45">
        <f>SUM(F153:F164)</f>
        <v>203753.55</v>
      </c>
      <c r="G165" s="45">
        <f>SUM(G153:G164)</f>
        <v>158416.18</v>
      </c>
      <c r="H165" s="45">
        <f>SUM(H153:H164)</f>
        <v>0</v>
      </c>
    </row>
    <row r="166" spans="1:8" ht="16.149999999999999" hidden="1" thickBot="1" x14ac:dyDescent="0.3">
      <c r="A166" s="3"/>
      <c r="B166" s="89" t="s">
        <v>32</v>
      </c>
      <c r="C166" s="90"/>
      <c r="D166" s="44">
        <v>0.18</v>
      </c>
      <c r="E166" s="46">
        <f>E165*$D$166</f>
        <v>32361.885269999995</v>
      </c>
      <c r="F166" s="46">
        <f>F165*$D$166</f>
        <v>36675.638999999996</v>
      </c>
      <c r="G166" s="46">
        <f>G165*$D$166</f>
        <v>28514.912399999997</v>
      </c>
      <c r="H166" s="39"/>
    </row>
    <row r="167" spans="1:8" ht="16.149999999999999" hidden="1" thickBot="1" x14ac:dyDescent="0.3">
      <c r="A167" s="3"/>
      <c r="B167" s="89" t="s">
        <v>33</v>
      </c>
      <c r="C167" s="90"/>
      <c r="D167" s="99"/>
      <c r="E167" s="47">
        <f>E166+E165</f>
        <v>212150.13676999998</v>
      </c>
      <c r="F167" s="47">
        <f>F166+F165</f>
        <v>240429.18899999998</v>
      </c>
      <c r="G167" s="47">
        <f>G166+G165</f>
        <v>186931.09239999999</v>
      </c>
      <c r="H167" s="6"/>
    </row>
    <row r="168" spans="1:8" ht="16.149999999999999" hidden="1" thickBot="1" x14ac:dyDescent="0.3">
      <c r="A168" s="3"/>
      <c r="B168" s="89" t="s">
        <v>129</v>
      </c>
      <c r="C168" s="90"/>
      <c r="D168" s="44">
        <v>0.05</v>
      </c>
      <c r="E168" s="4">
        <f>E167*$D$168</f>
        <v>10607.5068385</v>
      </c>
      <c r="F168" s="4">
        <f>F167*$D$168</f>
        <v>12021.45945</v>
      </c>
      <c r="G168" s="4">
        <f>G167*$D$168</f>
        <v>9346.5546200000008</v>
      </c>
      <c r="H168" s="5"/>
    </row>
    <row r="169" spans="1:8" ht="20.75" hidden="1" thickBot="1" x14ac:dyDescent="0.3">
      <c r="A169" s="3"/>
      <c r="B169" s="86" t="s">
        <v>131</v>
      </c>
      <c r="C169" s="87"/>
      <c r="D169" s="88"/>
      <c r="E169" s="45">
        <f>E167-E168</f>
        <v>201542.62993149998</v>
      </c>
      <c r="F169" s="45">
        <f>F167-F168</f>
        <v>228407.72954999999</v>
      </c>
      <c r="G169" s="45">
        <f>G167-G168</f>
        <v>177584.53777999998</v>
      </c>
      <c r="H169" s="5"/>
    </row>
    <row r="170" spans="1:8" ht="20.75" thickBot="1" x14ac:dyDescent="0.3">
      <c r="A170" s="78" t="s">
        <v>103</v>
      </c>
      <c r="B170" s="96" t="s">
        <v>104</v>
      </c>
      <c r="C170" s="97"/>
      <c r="D170" s="98"/>
      <c r="E170" s="24" t="s">
        <v>238</v>
      </c>
      <c r="F170" s="24" t="s">
        <v>239</v>
      </c>
      <c r="G170" s="24" t="s">
        <v>240</v>
      </c>
      <c r="H170" s="24"/>
    </row>
    <row r="171" spans="1:8" ht="18.45" x14ac:dyDescent="0.25">
      <c r="A171" s="10" t="s">
        <v>407</v>
      </c>
      <c r="B171" s="11" t="s">
        <v>226</v>
      </c>
      <c r="C171" s="22">
        <v>1</v>
      </c>
      <c r="D171" s="21" t="s">
        <v>25</v>
      </c>
      <c r="E171" s="40">
        <f>'[7]Sheet 1'!$E11*115%*130%</f>
        <v>1587.69</v>
      </c>
      <c r="F171" s="41">
        <f>'[7]Sheet 1'!$N11*115%*130%</f>
        <v>4763.07</v>
      </c>
      <c r="G171" s="42">
        <f>'[7]Sheet 1'!$W11*115%*130%</f>
        <v>0</v>
      </c>
      <c r="H171" s="12"/>
    </row>
    <row r="172" spans="1:8" ht="18.45" x14ac:dyDescent="0.25">
      <c r="A172" s="10" t="s">
        <v>408</v>
      </c>
      <c r="B172" s="11" t="s">
        <v>227</v>
      </c>
      <c r="C172" s="22">
        <v>1</v>
      </c>
      <c r="D172" s="21" t="s">
        <v>25</v>
      </c>
      <c r="E172" s="40">
        <f>'[7]Sheet 1'!$E12*115%*130%</f>
        <v>2954.8674999999998</v>
      </c>
      <c r="F172" s="41">
        <f>'[7]Sheet 1'!$N12*115%*130%</f>
        <v>5292.2999999999993</v>
      </c>
      <c r="G172" s="42">
        <f>'[7]Sheet 1'!$W12*115%*130%</f>
        <v>0</v>
      </c>
      <c r="H172" s="12"/>
    </row>
    <row r="173" spans="1:8" ht="18.45" x14ac:dyDescent="0.25">
      <c r="A173" s="10" t="s">
        <v>409</v>
      </c>
      <c r="B173" s="11" t="s">
        <v>228</v>
      </c>
      <c r="C173" s="22">
        <v>1</v>
      </c>
      <c r="D173" s="21" t="s">
        <v>25</v>
      </c>
      <c r="E173" s="40">
        <f>'[7]Sheet 1'!$E13*115%*130%</f>
        <v>1587.69</v>
      </c>
      <c r="F173" s="41">
        <f>'[7]Sheet 1'!$N13*115%*130%</f>
        <v>3810.4560000000001</v>
      </c>
      <c r="G173" s="42">
        <f>'[7]Sheet 1'!$W13*115%*130%</f>
        <v>0</v>
      </c>
      <c r="H173" s="12"/>
    </row>
    <row r="174" spans="1:8" ht="18.45" x14ac:dyDescent="0.25">
      <c r="A174" s="10" t="s">
        <v>410</v>
      </c>
      <c r="B174" s="11" t="s">
        <v>229</v>
      </c>
      <c r="C174" s="22">
        <v>1</v>
      </c>
      <c r="D174" s="21" t="s">
        <v>25</v>
      </c>
      <c r="E174" s="40">
        <f>'[7]Sheet 1'!$E14*115%*130%</f>
        <v>2954.8674999999998</v>
      </c>
      <c r="F174" s="41">
        <f>'[7]Sheet 1'!$N14*115%*130%</f>
        <v>4763.07</v>
      </c>
      <c r="G174" s="42">
        <f>'[7]Sheet 1'!$W14*115%*130%</f>
        <v>0</v>
      </c>
      <c r="H174" s="12"/>
    </row>
    <row r="175" spans="1:8" ht="18.45" x14ac:dyDescent="0.25">
      <c r="A175" s="10" t="s">
        <v>411</v>
      </c>
      <c r="B175" s="11" t="s">
        <v>230</v>
      </c>
      <c r="C175" s="22">
        <v>1</v>
      </c>
      <c r="D175" s="21" t="s">
        <v>25</v>
      </c>
      <c r="E175" s="40">
        <f>'[7]Sheet 1'!$E15*115%*130%</f>
        <v>2205.125</v>
      </c>
      <c r="F175" s="41">
        <f>'[7]Sheet 1'!$N15*115%*130%</f>
        <v>4763.07</v>
      </c>
      <c r="G175" s="42">
        <f>'[7]Sheet 1'!$W15*115%*130%</f>
        <v>0</v>
      </c>
      <c r="H175" s="12"/>
    </row>
    <row r="176" spans="1:8" ht="18.45" x14ac:dyDescent="0.25">
      <c r="A176" s="10" t="s">
        <v>412</v>
      </c>
      <c r="B176" s="11" t="s">
        <v>231</v>
      </c>
      <c r="C176" s="22">
        <v>1</v>
      </c>
      <c r="D176" s="21" t="s">
        <v>25</v>
      </c>
      <c r="E176" s="40">
        <f>'[7]Sheet 1'!$E16*115%*130%</f>
        <v>3263.585</v>
      </c>
      <c r="F176" s="41">
        <f>'[7]Sheet 1'!$N16*115%*130%</f>
        <v>5292.2999999999993</v>
      </c>
      <c r="G176" s="42">
        <f>'[7]Sheet 1'!$W16*115%*130%</f>
        <v>0</v>
      </c>
      <c r="H176" s="12"/>
    </row>
    <row r="177" spans="1:8" ht="18.45" x14ac:dyDescent="0.25">
      <c r="A177" s="10" t="s">
        <v>413</v>
      </c>
      <c r="B177" s="11" t="s">
        <v>232</v>
      </c>
      <c r="C177" s="22">
        <v>1</v>
      </c>
      <c r="D177" s="21" t="s">
        <v>25</v>
      </c>
      <c r="E177" s="40">
        <f>'[7]Sheet 1'!$E17*115%*130%</f>
        <v>2646.1499999999996</v>
      </c>
      <c r="F177" s="41">
        <f>'[7]Sheet 1'!$N17*115%*130%</f>
        <v>4763.07</v>
      </c>
      <c r="G177" s="42">
        <f>'[7]Sheet 1'!$W17*115%*130%</f>
        <v>0</v>
      </c>
      <c r="H177" s="12"/>
    </row>
    <row r="178" spans="1:8" ht="18.45" x14ac:dyDescent="0.25">
      <c r="A178" s="10" t="s">
        <v>414</v>
      </c>
      <c r="B178" s="11" t="s">
        <v>233</v>
      </c>
      <c r="C178" s="22">
        <v>1</v>
      </c>
      <c r="D178" s="21" t="s">
        <v>25</v>
      </c>
      <c r="E178" s="40">
        <f>'[7]Sheet 1'!$E18*115%*130%</f>
        <v>3263.585</v>
      </c>
      <c r="F178" s="41">
        <f>'[7]Sheet 1'!$N18*115%*130%</f>
        <v>5292.2999999999993</v>
      </c>
      <c r="G178" s="42">
        <f>'[7]Sheet 1'!$W18*115%*130%</f>
        <v>0</v>
      </c>
      <c r="H178" s="12"/>
    </row>
    <row r="179" spans="1:8" ht="18.45" x14ac:dyDescent="0.25">
      <c r="A179" s="10" t="s">
        <v>415</v>
      </c>
      <c r="B179" s="11" t="s">
        <v>234</v>
      </c>
      <c r="C179" s="22">
        <v>1</v>
      </c>
      <c r="D179" s="21" t="s">
        <v>25</v>
      </c>
      <c r="E179" s="40">
        <f>'[7]Sheet 1'!$E19*115%*130%</f>
        <v>1587.69</v>
      </c>
      <c r="F179" s="41">
        <f>'[7]Sheet 1'!$N19*115%*130%</f>
        <v>1499.4849999999999</v>
      </c>
      <c r="G179" s="42">
        <f>'[7]Sheet 1'!$W19*115%*130%</f>
        <v>1323.0749999999998</v>
      </c>
      <c r="H179" s="12"/>
    </row>
    <row r="180" spans="1:8" ht="19.05" thickBot="1" x14ac:dyDescent="0.3">
      <c r="A180" s="10" t="s">
        <v>416</v>
      </c>
      <c r="B180" s="11" t="s">
        <v>235</v>
      </c>
      <c r="C180" s="22">
        <v>1</v>
      </c>
      <c r="D180" s="21" t="s">
        <v>25</v>
      </c>
      <c r="E180" s="40">
        <f>'[7]Sheet 1'!$E20*115%*130%</f>
        <v>2205.125</v>
      </c>
      <c r="F180" s="41">
        <f>'[7]Sheet 1'!$N20*115%*130%</f>
        <v>1940.5099999999998</v>
      </c>
      <c r="G180" s="42">
        <f>'[7]Sheet 1'!$W20*115%*130%</f>
        <v>2116.92</v>
      </c>
      <c r="H180" s="12"/>
    </row>
    <row r="181" spans="1:8" ht="20.75" thickBot="1" x14ac:dyDescent="0.3">
      <c r="A181" s="3"/>
      <c r="B181" s="86" t="s">
        <v>236</v>
      </c>
      <c r="C181" s="87"/>
      <c r="D181" s="88"/>
      <c r="E181" s="45">
        <f>SUM(E171:E180)</f>
        <v>24256.374999999996</v>
      </c>
      <c r="F181" s="45">
        <f>SUM(F171:F180)</f>
        <v>42179.631000000001</v>
      </c>
      <c r="G181" s="45">
        <f>SUM(G171:G180)</f>
        <v>3439.9949999999999</v>
      </c>
      <c r="H181" s="45">
        <f>SUM(H171:H180)</f>
        <v>0</v>
      </c>
    </row>
    <row r="182" spans="1:8" ht="16.149999999999999" hidden="1" thickBot="1" x14ac:dyDescent="0.3">
      <c r="A182" s="3"/>
      <c r="B182" s="89" t="s">
        <v>32</v>
      </c>
      <c r="C182" s="90"/>
      <c r="D182" s="44">
        <v>0.18</v>
      </c>
      <c r="E182" s="46">
        <f>E181*$D$182</f>
        <v>4366.1474999999991</v>
      </c>
      <c r="F182" s="46">
        <f>F181*$D$182</f>
        <v>7592.3335799999995</v>
      </c>
      <c r="G182" s="46">
        <f>G181*$D$182</f>
        <v>619.19909999999993</v>
      </c>
      <c r="H182" s="46">
        <f>H181*$D$182</f>
        <v>0</v>
      </c>
    </row>
    <row r="183" spans="1:8" ht="16.149999999999999" hidden="1" thickBot="1" x14ac:dyDescent="0.3">
      <c r="A183" s="3"/>
      <c r="B183" s="89" t="s">
        <v>33</v>
      </c>
      <c r="C183" s="90"/>
      <c r="D183" s="99"/>
      <c r="E183" s="47">
        <f>E182+E181</f>
        <v>28622.522499999995</v>
      </c>
      <c r="F183" s="47">
        <f>F182+F181</f>
        <v>49771.96458</v>
      </c>
      <c r="G183" s="47">
        <f>G182+G181</f>
        <v>4059.1940999999997</v>
      </c>
      <c r="H183" s="47">
        <f>H182+H181</f>
        <v>0</v>
      </c>
    </row>
    <row r="184" spans="1:8" ht="16.149999999999999" hidden="1" thickBot="1" x14ac:dyDescent="0.3">
      <c r="A184" s="3"/>
      <c r="B184" s="89" t="s">
        <v>129</v>
      </c>
      <c r="C184" s="90"/>
      <c r="D184" s="44">
        <v>0.05</v>
      </c>
      <c r="E184" s="4">
        <f>E183*$D184</f>
        <v>1431.1261249999998</v>
      </c>
      <c r="F184" s="4">
        <f>F183*$D184</f>
        <v>2488.5982290000002</v>
      </c>
      <c r="G184" s="4">
        <f>G183*$D184</f>
        <v>202.95970499999999</v>
      </c>
      <c r="H184" s="4">
        <f>H183*$D184</f>
        <v>0</v>
      </c>
    </row>
    <row r="185" spans="1:8" ht="20.75" hidden="1" customHeight="1" thickBot="1" x14ac:dyDescent="0.3">
      <c r="A185" s="3"/>
      <c r="B185" s="86" t="s">
        <v>237</v>
      </c>
      <c r="C185" s="87"/>
      <c r="D185" s="88"/>
      <c r="E185" s="45">
        <f>E183-E184</f>
        <v>27191.396374999997</v>
      </c>
      <c r="F185" s="45">
        <f>F183-F184</f>
        <v>47283.366350999997</v>
      </c>
      <c r="G185" s="45">
        <f>G183-G184</f>
        <v>3856.2343949999995</v>
      </c>
      <c r="H185" s="45">
        <f>H183-H184</f>
        <v>0</v>
      </c>
    </row>
    <row r="186" spans="1:8" ht="20.75" thickBot="1" x14ac:dyDescent="0.3">
      <c r="A186" s="78" t="s">
        <v>105</v>
      </c>
      <c r="B186" s="96" t="s">
        <v>108</v>
      </c>
      <c r="C186" s="97"/>
      <c r="D186" s="98"/>
      <c r="E186" s="24" t="s">
        <v>274</v>
      </c>
      <c r="F186" s="24" t="s">
        <v>275</v>
      </c>
      <c r="G186" s="24" t="s">
        <v>276</v>
      </c>
      <c r="H186" s="24"/>
    </row>
    <row r="187" spans="1:8" ht="18.45" x14ac:dyDescent="0.25">
      <c r="A187" s="10" t="s">
        <v>264</v>
      </c>
      <c r="B187" s="11" t="s">
        <v>266</v>
      </c>
      <c r="C187" s="22">
        <v>1</v>
      </c>
      <c r="D187" s="21" t="s">
        <v>25</v>
      </c>
      <c r="E187" s="40">
        <f>'[8]Sheet 1'!$E11*115%*130%</f>
        <v>6350.76</v>
      </c>
      <c r="F187" s="41">
        <f>'[8]Sheet 1'!$N11*115%*130%</f>
        <v>6791.7849999999999</v>
      </c>
      <c r="G187" s="42">
        <f>'[8]Sheet 1'!$W11*115%*130%</f>
        <v>0</v>
      </c>
      <c r="H187" s="12"/>
    </row>
    <row r="188" spans="1:8" ht="19.05" thickBot="1" x14ac:dyDescent="0.3">
      <c r="A188" s="10" t="s">
        <v>265</v>
      </c>
      <c r="B188" s="11" t="s">
        <v>267</v>
      </c>
      <c r="C188" s="22">
        <v>1</v>
      </c>
      <c r="D188" s="21" t="s">
        <v>25</v>
      </c>
      <c r="E188" s="40">
        <f>'[8]Sheet 1'!$E12*115%*130%</f>
        <v>9173.32</v>
      </c>
      <c r="F188" s="41">
        <f>'[8]Sheet 1'!$N12*115%*130%</f>
        <v>0</v>
      </c>
      <c r="G188" s="42">
        <f>'[8]Sheet 1'!$W12*115%*130%</f>
        <v>9702.5499999999993</v>
      </c>
      <c r="H188" s="12"/>
    </row>
    <row r="189" spans="1:8" ht="20.75" thickBot="1" x14ac:dyDescent="0.3">
      <c r="A189" s="3"/>
      <c r="B189" s="86" t="s">
        <v>268</v>
      </c>
      <c r="C189" s="87"/>
      <c r="D189" s="88"/>
      <c r="E189" s="45">
        <f>SUM(E187:E188)</f>
        <v>15524.08</v>
      </c>
      <c r="F189" s="45">
        <f>SUM(F187:F188)</f>
        <v>6791.7849999999999</v>
      </c>
      <c r="G189" s="45">
        <f>SUM(G187:G188)</f>
        <v>9702.5499999999993</v>
      </c>
      <c r="H189" s="45">
        <f>SUM(H187:H188)</f>
        <v>0</v>
      </c>
    </row>
    <row r="190" spans="1:8" ht="16.149999999999999" hidden="1" thickBot="1" x14ac:dyDescent="0.3">
      <c r="A190" s="3"/>
      <c r="B190" s="89" t="s">
        <v>32</v>
      </c>
      <c r="C190" s="90"/>
      <c r="D190" s="44">
        <v>0.18</v>
      </c>
      <c r="E190" s="38">
        <f>E189*$D190</f>
        <v>2794.3343999999997</v>
      </c>
      <c r="F190" s="38">
        <f>F189*$D190</f>
        <v>1222.5212999999999</v>
      </c>
      <c r="G190" s="38">
        <f>G189*$D190</f>
        <v>1746.4589999999998</v>
      </c>
      <c r="H190" s="38">
        <f>H189*$D190</f>
        <v>0</v>
      </c>
    </row>
    <row r="191" spans="1:8" ht="16.149999999999999" hidden="1" thickBot="1" x14ac:dyDescent="0.3">
      <c r="A191" s="3"/>
      <c r="B191" s="89" t="s">
        <v>33</v>
      </c>
      <c r="C191" s="90"/>
      <c r="D191" s="99"/>
      <c r="E191" s="29">
        <f>E190+E189</f>
        <v>18318.414400000001</v>
      </c>
      <c r="F191" s="29">
        <f>F190+F189</f>
        <v>8014.3063000000002</v>
      </c>
      <c r="G191" s="29">
        <f>G190+G189</f>
        <v>11449.008999999998</v>
      </c>
      <c r="H191" s="29">
        <f>H190+H189</f>
        <v>0</v>
      </c>
    </row>
    <row r="192" spans="1:8" ht="16.149999999999999" hidden="1" thickBot="1" x14ac:dyDescent="0.3">
      <c r="A192" s="3"/>
      <c r="B192" s="89" t="s">
        <v>129</v>
      </c>
      <c r="C192" s="90"/>
      <c r="D192" s="44">
        <v>0.05</v>
      </c>
      <c r="E192" s="4">
        <f>E191*$D192</f>
        <v>915.92072000000007</v>
      </c>
      <c r="F192" s="4">
        <f>F191*$D192</f>
        <v>400.71531500000003</v>
      </c>
      <c r="G192" s="4">
        <f>G191*$D192</f>
        <v>572.45044999999993</v>
      </c>
      <c r="H192" s="4">
        <f>H191*$D192</f>
        <v>0</v>
      </c>
    </row>
    <row r="193" spans="1:8" ht="20.75" hidden="1" thickBot="1" x14ac:dyDescent="0.3">
      <c r="A193" s="3"/>
      <c r="B193" s="86" t="s">
        <v>269</v>
      </c>
      <c r="C193" s="87"/>
      <c r="D193" s="88"/>
      <c r="E193" s="30">
        <f>E191-E192</f>
        <v>17402.49368</v>
      </c>
      <c r="F193" s="30">
        <f>F191-F192</f>
        <v>7613.5909849999998</v>
      </c>
      <c r="G193" s="30">
        <f>G191-G192</f>
        <v>10876.558549999998</v>
      </c>
      <c r="H193" s="30">
        <f>H191-H192</f>
        <v>0</v>
      </c>
    </row>
    <row r="194" spans="1:8" ht="40.9" thickBot="1" x14ac:dyDescent="0.3">
      <c r="A194" s="78" t="s">
        <v>107</v>
      </c>
      <c r="B194" s="96" t="s">
        <v>106</v>
      </c>
      <c r="C194" s="97"/>
      <c r="D194" s="98"/>
      <c r="E194" s="24" t="s">
        <v>270</v>
      </c>
      <c r="F194" s="24" t="s">
        <v>271</v>
      </c>
      <c r="G194" s="24" t="s">
        <v>272</v>
      </c>
      <c r="H194" s="24" t="s">
        <v>273</v>
      </c>
    </row>
    <row r="195" spans="1:8" ht="18.45" x14ac:dyDescent="0.25">
      <c r="A195" s="10" t="s">
        <v>257</v>
      </c>
      <c r="B195" s="11" t="s">
        <v>250</v>
      </c>
      <c r="C195" s="22">
        <v>1</v>
      </c>
      <c r="D195" s="21" t="s">
        <v>25</v>
      </c>
      <c r="E195" s="40">
        <f>'[9]Sheet 1'!$J11*115%*130%</f>
        <v>61743.499999999993</v>
      </c>
      <c r="F195" s="41">
        <f>'[9]Sheet 1'!$N11*115%*130%</f>
        <v>67035.799999999988</v>
      </c>
      <c r="G195" s="42">
        <f>'[9]Sheet 1'!$V11*115%*130%</f>
        <v>97025.5</v>
      </c>
      <c r="H195" s="42">
        <f>'[9]Sheet 1'!$AF11*115%*130%</f>
        <v>47373.211665000003</v>
      </c>
    </row>
    <row r="196" spans="1:8" ht="18.45" x14ac:dyDescent="0.25">
      <c r="A196" s="10" t="s">
        <v>258</v>
      </c>
      <c r="B196" s="11" t="s">
        <v>251</v>
      </c>
      <c r="C196" s="22">
        <v>1</v>
      </c>
      <c r="D196" s="21" t="s">
        <v>25</v>
      </c>
      <c r="E196" s="40">
        <f>'[9]Sheet 1'!$J12*115%*130%</f>
        <v>79384.5</v>
      </c>
      <c r="F196" s="41">
        <f>'[9]Sheet 1'!$N12*115%*130%</f>
        <v>91733.2</v>
      </c>
      <c r="G196" s="42">
        <f>'[9]Sheet 1'!$V12*115%*130%</f>
        <v>132307.5</v>
      </c>
      <c r="H196" s="42">
        <f>'[9]Sheet 1'!$AF12*115%*130%</f>
        <v>66173.89662</v>
      </c>
    </row>
    <row r="197" spans="1:8" ht="18.45" x14ac:dyDescent="0.25">
      <c r="A197" s="10" t="s">
        <v>259</v>
      </c>
      <c r="B197" s="11" t="s">
        <v>252</v>
      </c>
      <c r="C197" s="22">
        <v>1</v>
      </c>
      <c r="D197" s="21" t="s">
        <v>25</v>
      </c>
      <c r="E197" s="40">
        <f>'[9]Sheet 1'!$J13*115%*130%</f>
        <v>4410.25</v>
      </c>
      <c r="F197" s="41">
        <f>'[9]Sheet 1'!$N13*115%*130%</f>
        <v>5292.2999999999993</v>
      </c>
      <c r="G197" s="42">
        <f>'[9]Sheet 1'!$V13*115%*130%</f>
        <v>6174.35</v>
      </c>
      <c r="H197" s="42">
        <f>'[9]Sheet 1'!$AF13*115%*130%</f>
        <v>4884.3533699999998</v>
      </c>
    </row>
    <row r="198" spans="1:8" ht="18.45" x14ac:dyDescent="0.25">
      <c r="A198" s="10" t="s">
        <v>260</v>
      </c>
      <c r="B198" s="11" t="s">
        <v>253</v>
      </c>
      <c r="C198" s="22">
        <v>1</v>
      </c>
      <c r="D198" s="21" t="s">
        <v>25</v>
      </c>
      <c r="E198" s="40">
        <f>'[9]Sheet 1'!$J14*115%*130%</f>
        <v>4410.25</v>
      </c>
      <c r="F198" s="41">
        <f>'[9]Sheet 1'!$N14*115%*130%</f>
        <v>5292.2999999999993</v>
      </c>
      <c r="G198" s="42">
        <f>'[9]Sheet 1'!$V14*115%*130%</f>
        <v>6174.35</v>
      </c>
      <c r="H198" s="42">
        <f>'[9]Sheet 1'!$AF14*115%*130%</f>
        <v>4570.8518699999995</v>
      </c>
    </row>
    <row r="199" spans="1:8" ht="18.45" x14ac:dyDescent="0.25">
      <c r="A199" s="10" t="s">
        <v>261</v>
      </c>
      <c r="B199" s="11" t="s">
        <v>254</v>
      </c>
      <c r="C199" s="22">
        <v>1</v>
      </c>
      <c r="D199" s="21" t="s">
        <v>25</v>
      </c>
      <c r="E199" s="40">
        <f>'[9]Sheet 1'!$J15*115%*130%</f>
        <v>3881.0199999999995</v>
      </c>
      <c r="F199" s="41">
        <f>'[9]Sheet 1'!$N15*115%*130%</f>
        <v>4057.43</v>
      </c>
      <c r="G199" s="42">
        <f>'[9]Sheet 1'!$V15*115%*130%</f>
        <v>6174.35</v>
      </c>
      <c r="H199" s="42">
        <f>'[9]Sheet 1'!$AF15*115%*130%</f>
        <v>5295.0403349999988</v>
      </c>
    </row>
    <row r="200" spans="1:8" ht="18.45" x14ac:dyDescent="0.25">
      <c r="A200" s="10" t="s">
        <v>262</v>
      </c>
      <c r="B200" s="11" t="s">
        <v>255</v>
      </c>
      <c r="C200" s="22">
        <v>1</v>
      </c>
      <c r="D200" s="21" t="s">
        <v>25</v>
      </c>
      <c r="E200" s="40">
        <f>'[9]Sheet 1'!$J16*115%*130%</f>
        <v>0</v>
      </c>
      <c r="F200" s="41">
        <f>'[9]Sheet 1'!$N16*115%*130%</f>
        <v>6703.58</v>
      </c>
      <c r="G200" s="42">
        <f>'[9]Sheet 1'!$V16*115%*130%</f>
        <v>14112.800000000001</v>
      </c>
      <c r="H200" s="42">
        <f>'[9]Sheet 1'!$AF16*115%*130%</f>
        <v>1097.2552500000002</v>
      </c>
    </row>
    <row r="201" spans="1:8" ht="19.05" thickBot="1" x14ac:dyDescent="0.3">
      <c r="A201" s="10" t="s">
        <v>263</v>
      </c>
      <c r="B201" s="11" t="s">
        <v>256</v>
      </c>
      <c r="C201" s="22">
        <v>1</v>
      </c>
      <c r="D201" s="21" t="s">
        <v>25</v>
      </c>
      <c r="E201" s="40">
        <f>'[9]Sheet 1'!$J17*115%*130%</f>
        <v>4939.4800000000005</v>
      </c>
      <c r="F201" s="41">
        <f>'[9]Sheet 1'!$N17*115%*130%</f>
        <v>9702.5499999999993</v>
      </c>
      <c r="G201" s="42">
        <f>'[9]Sheet 1'!$V17*115%*130%</f>
        <v>12348.7</v>
      </c>
      <c r="H201" s="42">
        <f>'[9]Sheet 1'!$AF17*115%*130%</f>
        <v>2884.2138</v>
      </c>
    </row>
    <row r="202" spans="1:8" ht="20.75" thickBot="1" x14ac:dyDescent="0.3">
      <c r="A202" s="3"/>
      <c r="B202" s="86" t="s">
        <v>248</v>
      </c>
      <c r="C202" s="87"/>
      <c r="D202" s="88"/>
      <c r="E202" s="45">
        <f>SUM(E195:E201)</f>
        <v>158769</v>
      </c>
      <c r="F202" s="45">
        <f>SUM(F195:F201)</f>
        <v>189817.15999999995</v>
      </c>
      <c r="G202" s="45">
        <f>SUM(G195:G201)</f>
        <v>274317.55</v>
      </c>
      <c r="H202" s="45">
        <f>SUM(H195:H201)</f>
        <v>132278.82290999999</v>
      </c>
    </row>
    <row r="203" spans="1:8" ht="16.149999999999999" hidden="1" thickBot="1" x14ac:dyDescent="0.3">
      <c r="A203" s="3"/>
      <c r="B203" s="89" t="s">
        <v>32</v>
      </c>
      <c r="C203" s="90"/>
      <c r="D203" s="44">
        <v>0.18</v>
      </c>
      <c r="E203" s="38">
        <f>E202*$D203</f>
        <v>28578.42</v>
      </c>
      <c r="F203" s="38">
        <f>F202*$D203</f>
        <v>34167.08879999999</v>
      </c>
      <c r="G203" s="38">
        <f>G202*$D203</f>
        <v>49377.159</v>
      </c>
      <c r="H203" s="38">
        <f>H202*$D203</f>
        <v>23810.188123799999</v>
      </c>
    </row>
    <row r="204" spans="1:8" ht="16.149999999999999" hidden="1" thickBot="1" x14ac:dyDescent="0.3">
      <c r="A204" s="3"/>
      <c r="B204" s="89" t="s">
        <v>33</v>
      </c>
      <c r="C204" s="90"/>
      <c r="D204" s="99"/>
      <c r="E204" s="29">
        <f>E203+E202</f>
        <v>187347.41999999998</v>
      </c>
      <c r="F204" s="29">
        <f>F203+F202</f>
        <v>223984.24879999994</v>
      </c>
      <c r="G204" s="29">
        <f>G203+G202</f>
        <v>323694.70899999997</v>
      </c>
      <c r="H204" s="29">
        <f>H203+H202</f>
        <v>156089.01103379999</v>
      </c>
    </row>
    <row r="205" spans="1:8" ht="16.149999999999999" hidden="1" thickBot="1" x14ac:dyDescent="0.3">
      <c r="A205" s="3"/>
      <c r="B205" s="89" t="s">
        <v>129</v>
      </c>
      <c r="C205" s="90"/>
      <c r="D205" s="44">
        <v>0.05</v>
      </c>
      <c r="E205" s="4">
        <f>E204*$D205</f>
        <v>9367.3709999999992</v>
      </c>
      <c r="F205" s="4">
        <f>F204*$D205</f>
        <v>11199.212439999998</v>
      </c>
      <c r="G205" s="4">
        <f>G204*$D205</f>
        <v>16184.73545</v>
      </c>
      <c r="H205" s="4">
        <f>H204*$D205</f>
        <v>7804.4505516899999</v>
      </c>
    </row>
    <row r="206" spans="1:8" ht="20.75" hidden="1" thickBot="1" x14ac:dyDescent="0.3">
      <c r="A206" s="3"/>
      <c r="B206" s="86" t="s">
        <v>249</v>
      </c>
      <c r="C206" s="87"/>
      <c r="D206" s="88"/>
      <c r="E206" s="30">
        <f>E204-E205</f>
        <v>177980.049</v>
      </c>
      <c r="F206" s="30">
        <f>F204-F205</f>
        <v>212785.03635999994</v>
      </c>
      <c r="G206" s="30">
        <f>G204-G205</f>
        <v>307509.97355</v>
      </c>
      <c r="H206" s="30">
        <f>H204-H205</f>
        <v>148284.56048210998</v>
      </c>
    </row>
    <row r="207" spans="1:8" ht="20.75" thickBot="1" x14ac:dyDescent="0.3">
      <c r="A207" s="78" t="s">
        <v>109</v>
      </c>
      <c r="B207" s="96" t="s">
        <v>110</v>
      </c>
      <c r="C207" s="97"/>
      <c r="D207" s="98"/>
      <c r="E207" s="24" t="s">
        <v>432</v>
      </c>
      <c r="F207" s="24" t="s">
        <v>66</v>
      </c>
      <c r="G207" s="24" t="s">
        <v>64</v>
      </c>
      <c r="H207" s="24"/>
    </row>
    <row r="208" spans="1:8" ht="18.45" x14ac:dyDescent="0.25">
      <c r="A208" s="10" t="s">
        <v>435</v>
      </c>
      <c r="B208" s="11" t="s">
        <v>417</v>
      </c>
      <c r="C208" s="22">
        <v>1</v>
      </c>
      <c r="D208" s="21" t="s">
        <v>25</v>
      </c>
      <c r="E208" s="40">
        <f>'[10]Sheet 1'!$E11*115%*130%</f>
        <v>970.25499999999988</v>
      </c>
      <c r="F208" s="41">
        <f>'[10]Sheet 1'!$H11*115%*130%</f>
        <v>3351.79</v>
      </c>
      <c r="G208" s="42">
        <f>'[10]Sheet 1'!$K11*115%*130%</f>
        <v>0</v>
      </c>
      <c r="H208" s="40">
        <v>0</v>
      </c>
    </row>
    <row r="209" spans="1:8" ht="18.45" x14ac:dyDescent="0.25">
      <c r="A209" s="10" t="s">
        <v>436</v>
      </c>
      <c r="B209" s="11" t="s">
        <v>418</v>
      </c>
      <c r="C209" s="22">
        <v>1</v>
      </c>
      <c r="D209" s="21" t="s">
        <v>25</v>
      </c>
      <c r="E209" s="40">
        <f>'[10]Sheet 1'!$E12*115%*130%</f>
        <v>5997.94</v>
      </c>
      <c r="F209" s="41">
        <f>'[10]Sheet 1'!$H12*115%*130%</f>
        <v>7056.4000000000005</v>
      </c>
      <c r="G209" s="42">
        <f>'[10]Sheet 1'!$K12*115%*130%</f>
        <v>0</v>
      </c>
      <c r="H209" s="40">
        <v>0</v>
      </c>
    </row>
    <row r="210" spans="1:8" ht="18.45" x14ac:dyDescent="0.25">
      <c r="A210" s="10" t="s">
        <v>437</v>
      </c>
      <c r="B210" s="11" t="s">
        <v>419</v>
      </c>
      <c r="C210" s="22">
        <v>1</v>
      </c>
      <c r="D210" s="21" t="s">
        <v>25</v>
      </c>
      <c r="E210" s="40">
        <f>'[10]Sheet 1'!$E13*115%*130%</f>
        <v>3263.585</v>
      </c>
      <c r="F210" s="41">
        <f>'[10]Sheet 1'!$H13*115%*130%</f>
        <v>0</v>
      </c>
      <c r="G210" s="42">
        <f>'[10]Sheet 1'!$K13*115%*130%</f>
        <v>0</v>
      </c>
      <c r="H210" s="40">
        <v>0</v>
      </c>
    </row>
    <row r="211" spans="1:8" ht="18.45" x14ac:dyDescent="0.25">
      <c r="A211" s="10" t="s">
        <v>438</v>
      </c>
      <c r="B211" s="11" t="s">
        <v>420</v>
      </c>
      <c r="C211" s="22">
        <v>1</v>
      </c>
      <c r="D211" s="21" t="s">
        <v>25</v>
      </c>
      <c r="E211" s="40">
        <f>'[10]Sheet 1'!$E14*115%*130%</f>
        <v>7938.4499999999989</v>
      </c>
      <c r="F211" s="41">
        <f>'[10]Sheet 1'!$H14*115%*130%</f>
        <v>0</v>
      </c>
      <c r="G211" s="42">
        <f>'[10]Sheet 1'!$K14*115%*130%</f>
        <v>0</v>
      </c>
      <c r="H211" s="40">
        <v>0</v>
      </c>
    </row>
    <row r="212" spans="1:8" ht="18.45" x14ac:dyDescent="0.25">
      <c r="A212" s="10" t="s">
        <v>439</v>
      </c>
      <c r="B212" s="11" t="s">
        <v>421</v>
      </c>
      <c r="C212" s="22">
        <v>1</v>
      </c>
      <c r="D212" s="21" t="s">
        <v>25</v>
      </c>
      <c r="E212" s="40">
        <f>'[10]Sheet 1'!$E15*115%*130%</f>
        <v>20287.149999999998</v>
      </c>
      <c r="F212" s="41">
        <f>'[10]Sheet 1'!$H15*115%*130%</f>
        <v>0</v>
      </c>
      <c r="G212" s="42">
        <f>'[10]Sheet 1'!$K15*115%*130%</f>
        <v>0</v>
      </c>
      <c r="H212" s="40">
        <v>0</v>
      </c>
    </row>
    <row r="213" spans="1:8" ht="18.45" x14ac:dyDescent="0.25">
      <c r="A213" s="10" t="s">
        <v>440</v>
      </c>
      <c r="B213" s="11" t="s">
        <v>422</v>
      </c>
      <c r="C213" s="22">
        <v>1</v>
      </c>
      <c r="D213" s="21" t="s">
        <v>25</v>
      </c>
      <c r="E213" s="40">
        <f>'[10]Sheet 1'!$E16*115%*130%</f>
        <v>23815.350000000002</v>
      </c>
      <c r="F213" s="41">
        <f>'[10]Sheet 1'!$H16*115%*130%</f>
        <v>0</v>
      </c>
      <c r="G213" s="42">
        <f>'[10]Sheet 1'!$K16*115%*130%</f>
        <v>0</v>
      </c>
      <c r="H213" s="40">
        <v>0</v>
      </c>
    </row>
    <row r="214" spans="1:8" ht="18.45" x14ac:dyDescent="0.25">
      <c r="A214" s="10" t="s">
        <v>441</v>
      </c>
      <c r="B214" s="11" t="s">
        <v>423</v>
      </c>
      <c r="C214" s="22">
        <v>1</v>
      </c>
      <c r="D214" s="21" t="s">
        <v>25</v>
      </c>
      <c r="E214" s="40">
        <f>'[10]Sheet 1'!$E17*115%*130%</f>
        <v>7409.2199999999993</v>
      </c>
      <c r="F214" s="41">
        <f>'[10]Sheet 1'!$H17*115%*130%</f>
        <v>7056.4000000000005</v>
      </c>
      <c r="G214" s="42">
        <f>'[10]Sheet 1'!$K17*115%*130%</f>
        <v>0</v>
      </c>
      <c r="H214" s="40">
        <v>0</v>
      </c>
    </row>
    <row r="215" spans="1:8" ht="18.45" x14ac:dyDescent="0.25">
      <c r="A215" s="10" t="s">
        <v>442</v>
      </c>
      <c r="B215" s="11" t="s">
        <v>424</v>
      </c>
      <c r="C215" s="22">
        <v>1</v>
      </c>
      <c r="D215" s="21" t="s">
        <v>25</v>
      </c>
      <c r="E215" s="40">
        <f>'[10]Sheet 1'!$E18*115%*130%</f>
        <v>11290.24</v>
      </c>
      <c r="F215" s="41">
        <f>'[10]Sheet 1'!$H18*115%*130%</f>
        <v>15876.899999999998</v>
      </c>
      <c r="G215" s="42">
        <f>'[10]Sheet 1'!$K18*115%*130%</f>
        <v>0</v>
      </c>
      <c r="H215" s="40">
        <v>0</v>
      </c>
    </row>
    <row r="216" spans="1:8" ht="18.45" x14ac:dyDescent="0.25">
      <c r="A216" s="10" t="s">
        <v>443</v>
      </c>
      <c r="B216" s="11" t="s">
        <v>425</v>
      </c>
      <c r="C216" s="22">
        <v>1</v>
      </c>
      <c r="D216" s="21" t="s">
        <v>25</v>
      </c>
      <c r="E216" s="40">
        <f>'[10]Sheet 1'!$E19*115%*130%</f>
        <v>50276.85</v>
      </c>
      <c r="F216" s="41">
        <f>'[10]Sheet 1'!$H19*115%*130%</f>
        <v>41456.35</v>
      </c>
      <c r="G216" s="42">
        <f>'[10]Sheet 1'!$K19*115%*130%</f>
        <v>0</v>
      </c>
      <c r="H216" s="40">
        <v>0</v>
      </c>
    </row>
    <row r="217" spans="1:8" ht="18.45" x14ac:dyDescent="0.25">
      <c r="A217" s="10" t="s">
        <v>444</v>
      </c>
      <c r="B217" s="11" t="s">
        <v>426</v>
      </c>
      <c r="C217" s="22">
        <v>1</v>
      </c>
      <c r="D217" s="21" t="s">
        <v>25</v>
      </c>
      <c r="E217" s="40">
        <f>'[10]Sheet 1'!$E20*115%*130%</f>
        <v>158.76900000000001</v>
      </c>
      <c r="F217" s="41">
        <f>'[10]Sheet 1'!$H20*115%*130%</f>
        <v>299.89699999999999</v>
      </c>
      <c r="G217" s="42">
        <f>'[10]Sheet 1'!$K20*115%*130%</f>
        <v>0</v>
      </c>
      <c r="H217" s="40">
        <v>0</v>
      </c>
    </row>
    <row r="218" spans="1:8" ht="18.45" x14ac:dyDescent="0.25">
      <c r="A218" s="10" t="s">
        <v>445</v>
      </c>
      <c r="B218" s="11" t="s">
        <v>427</v>
      </c>
      <c r="C218" s="22">
        <v>1</v>
      </c>
      <c r="D218" s="21" t="s">
        <v>25</v>
      </c>
      <c r="E218" s="40">
        <f>'[10]Sheet 1'!$E21*115%*130%</f>
        <v>5292.2999999999993</v>
      </c>
      <c r="F218" s="41">
        <f>'[10]Sheet 1'!$H21*115%*130%</f>
        <v>4410.25</v>
      </c>
      <c r="G218" s="42">
        <f>'[10]Sheet 1'!$K21*115%*130%</f>
        <v>0</v>
      </c>
      <c r="H218" s="40">
        <v>0</v>
      </c>
    </row>
    <row r="219" spans="1:8" ht="18.45" x14ac:dyDescent="0.25">
      <c r="A219" s="10" t="s">
        <v>446</v>
      </c>
      <c r="B219" s="11" t="s">
        <v>428</v>
      </c>
      <c r="C219" s="22">
        <v>1</v>
      </c>
      <c r="D219" s="21" t="s">
        <v>25</v>
      </c>
      <c r="E219" s="40">
        <f>'[10]Sheet 1'!$E22*115%*130%</f>
        <v>2116.92</v>
      </c>
      <c r="F219" s="41">
        <f>'[10]Sheet 1'!$H22*115%*130%</f>
        <v>0</v>
      </c>
      <c r="G219" s="42">
        <f>'[10]Sheet 1'!$K22*115%*130%</f>
        <v>0</v>
      </c>
      <c r="H219" s="40">
        <v>0</v>
      </c>
    </row>
    <row r="220" spans="1:8" ht="18.45" x14ac:dyDescent="0.25">
      <c r="A220" s="10" t="s">
        <v>447</v>
      </c>
      <c r="B220" s="11" t="s">
        <v>429</v>
      </c>
      <c r="C220" s="22">
        <v>1</v>
      </c>
      <c r="D220" s="21" t="s">
        <v>58</v>
      </c>
      <c r="E220" s="40">
        <f>'[10]Sheet 1'!$E23*115%*130%</f>
        <v>88.204999999999998</v>
      </c>
      <c r="F220" s="41">
        <f>'[10]Sheet 1'!$H23*115%*130%</f>
        <v>0</v>
      </c>
      <c r="G220" s="42">
        <f>'[10]Sheet 1'!$K23*115%*130%</f>
        <v>0</v>
      </c>
      <c r="H220" s="40">
        <v>0</v>
      </c>
    </row>
    <row r="221" spans="1:8" ht="19.05" thickBot="1" x14ac:dyDescent="0.3">
      <c r="A221" s="10" t="s">
        <v>448</v>
      </c>
      <c r="B221" s="11" t="s">
        <v>430</v>
      </c>
      <c r="C221" s="22">
        <v>1</v>
      </c>
      <c r="D221" s="21" t="s">
        <v>431</v>
      </c>
      <c r="E221" s="40">
        <f>'[10]Sheet 1'!$E24*115%*130%</f>
        <v>473.61356060606062</v>
      </c>
      <c r="F221" s="41">
        <f>'[10]Sheet 1'!$H24*115%*130%</f>
        <v>0</v>
      </c>
      <c r="G221" s="42">
        <f>'[10]Sheet 1'!$K24*115%*130%</f>
        <v>0</v>
      </c>
      <c r="H221" s="40">
        <v>0</v>
      </c>
    </row>
    <row r="222" spans="1:8" ht="20.75" thickBot="1" x14ac:dyDescent="0.3">
      <c r="A222" s="3"/>
      <c r="B222" s="86" t="s">
        <v>433</v>
      </c>
      <c r="C222" s="87"/>
      <c r="D222" s="88"/>
      <c r="E222" s="45">
        <f>SUM(E208:E221)</f>
        <v>139378.84756060605</v>
      </c>
      <c r="F222" s="45">
        <f>SUM(F208:F221)</f>
        <v>79507.986999999994</v>
      </c>
      <c r="G222" s="45">
        <f>SUM(G208:G221)</f>
        <v>0</v>
      </c>
      <c r="H222" s="45">
        <f>SUM(H208:H221)</f>
        <v>0</v>
      </c>
    </row>
    <row r="223" spans="1:8" ht="16.149999999999999" hidden="1" thickBot="1" x14ac:dyDescent="0.3">
      <c r="A223" s="3"/>
      <c r="B223" s="89" t="s">
        <v>32</v>
      </c>
      <c r="C223" s="90"/>
      <c r="D223" s="44">
        <v>0.18</v>
      </c>
      <c r="E223" s="38">
        <f>E222*$D223</f>
        <v>25088.19256090909</v>
      </c>
      <c r="F223" s="38">
        <f>F222*$D223</f>
        <v>14311.437659999998</v>
      </c>
      <c r="G223" s="38">
        <f>G222*$D223</f>
        <v>0</v>
      </c>
      <c r="H223" s="38">
        <f>H222*$D223</f>
        <v>0</v>
      </c>
    </row>
    <row r="224" spans="1:8" ht="16.149999999999999" hidden="1" thickBot="1" x14ac:dyDescent="0.3">
      <c r="A224" s="3"/>
      <c r="B224" s="89" t="s">
        <v>33</v>
      </c>
      <c r="C224" s="90"/>
      <c r="D224" s="99"/>
      <c r="E224" s="29">
        <f>E223+E222</f>
        <v>164467.04012151514</v>
      </c>
      <c r="F224" s="29">
        <f>F223+F222</f>
        <v>93819.42465999999</v>
      </c>
      <c r="G224" s="29">
        <f>G223+G222</f>
        <v>0</v>
      </c>
      <c r="H224" s="29">
        <f>H223+H222</f>
        <v>0</v>
      </c>
    </row>
    <row r="225" spans="1:8" ht="16.149999999999999" hidden="1" thickBot="1" x14ac:dyDescent="0.3">
      <c r="A225" s="3"/>
      <c r="B225" s="89" t="s">
        <v>129</v>
      </c>
      <c r="C225" s="90"/>
      <c r="D225" s="44">
        <v>0.05</v>
      </c>
      <c r="E225" s="4">
        <f>E224*$D225</f>
        <v>8223.3520060757564</v>
      </c>
      <c r="F225" s="4">
        <f>F224*$D225</f>
        <v>4690.9712329999993</v>
      </c>
      <c r="G225" s="4">
        <f>G224*$D225</f>
        <v>0</v>
      </c>
      <c r="H225" s="4">
        <f>H224*$D225</f>
        <v>0</v>
      </c>
    </row>
    <row r="226" spans="1:8" ht="20.75" hidden="1" thickBot="1" x14ac:dyDescent="0.3">
      <c r="A226" s="3"/>
      <c r="B226" s="86" t="s">
        <v>434</v>
      </c>
      <c r="C226" s="87"/>
      <c r="D226" s="88"/>
      <c r="E226" s="30">
        <f>E224-E225</f>
        <v>156243.68811543938</v>
      </c>
      <c r="F226" s="30">
        <f>F224-F225</f>
        <v>89128.453426999986</v>
      </c>
      <c r="G226" s="30">
        <f>G224-G225</f>
        <v>0</v>
      </c>
      <c r="H226" s="30">
        <f>H224-H225</f>
        <v>0</v>
      </c>
    </row>
    <row r="227" spans="1:8" ht="20.75" thickBot="1" x14ac:dyDescent="0.3">
      <c r="A227" s="78" t="s">
        <v>111</v>
      </c>
      <c r="B227" s="96" t="s">
        <v>112</v>
      </c>
      <c r="C227" s="97"/>
      <c r="D227" s="98"/>
      <c r="E227" s="24" t="s">
        <v>66</v>
      </c>
      <c r="F227" s="24" t="s">
        <v>64</v>
      </c>
      <c r="G227" s="24" t="s">
        <v>241</v>
      </c>
      <c r="H227" s="24"/>
    </row>
    <row r="228" spans="1:8" ht="18.45" x14ac:dyDescent="0.25">
      <c r="A228" s="10" t="s">
        <v>449</v>
      </c>
      <c r="B228" s="11" t="s">
        <v>309</v>
      </c>
      <c r="C228" s="22">
        <v>1</v>
      </c>
      <c r="D228" s="21" t="s">
        <v>25</v>
      </c>
      <c r="E228" s="40">
        <f>'[11]Sheet 1'!$E11*115%*130%</f>
        <v>0</v>
      </c>
      <c r="F228" s="41">
        <f>'[11]Sheet 1'!$N11*115%*130%</f>
        <v>7938.4499999999989</v>
      </c>
      <c r="G228" s="42">
        <f>'[11]Sheet 1'!$W11*115%*130%</f>
        <v>0</v>
      </c>
      <c r="H228" s="37">
        <v>0</v>
      </c>
    </row>
    <row r="229" spans="1:8" ht="18.45" x14ac:dyDescent="0.25">
      <c r="A229" s="10" t="s">
        <v>450</v>
      </c>
      <c r="B229" s="11" t="s">
        <v>310</v>
      </c>
      <c r="C229" s="22">
        <v>1</v>
      </c>
      <c r="D229" s="21" t="s">
        <v>25</v>
      </c>
      <c r="E229" s="40">
        <f>'[11]Sheet 1'!$E12*115%*130%</f>
        <v>0</v>
      </c>
      <c r="F229" s="41">
        <f>'[11]Sheet 1'!$N12*115%*130%</f>
        <v>9702.5499999999993</v>
      </c>
      <c r="G229" s="42">
        <f>'[11]Sheet 1'!$W12*115%*130%</f>
        <v>0</v>
      </c>
      <c r="H229" s="37">
        <v>0</v>
      </c>
    </row>
    <row r="230" spans="1:8" ht="18.45" x14ac:dyDescent="0.25">
      <c r="A230" s="10" t="s">
        <v>451</v>
      </c>
      <c r="B230" s="11" t="s">
        <v>311</v>
      </c>
      <c r="C230" s="22">
        <v>1</v>
      </c>
      <c r="D230" s="21" t="s">
        <v>25</v>
      </c>
      <c r="E230" s="40">
        <f>'[11]Sheet 1'!$E13*115%*130%</f>
        <v>0</v>
      </c>
      <c r="F230" s="41">
        <f>'[11]Sheet 1'!$N13*115%*130%</f>
        <v>12348.7</v>
      </c>
      <c r="G230" s="42">
        <f>'[11]Sheet 1'!$W13*115%*130%</f>
        <v>0</v>
      </c>
      <c r="H230" s="37">
        <v>0</v>
      </c>
    </row>
    <row r="231" spans="1:8" ht="37.450000000000003" thickBot="1" x14ac:dyDescent="0.3">
      <c r="A231" s="10" t="s">
        <v>452</v>
      </c>
      <c r="B231" s="11" t="s">
        <v>308</v>
      </c>
      <c r="C231" s="22">
        <v>1</v>
      </c>
      <c r="D231" s="21" t="s">
        <v>25</v>
      </c>
      <c r="E231" s="40">
        <f>'[11]Sheet 1'!$E14*115%*130%</f>
        <v>0</v>
      </c>
      <c r="F231" s="41">
        <f>'[11]Sheet 1'!$N14*115%*130%</f>
        <v>0</v>
      </c>
      <c r="G231" s="42">
        <f>'[11]Sheet 1'!$W14*115%*130%</f>
        <v>0</v>
      </c>
      <c r="H231" s="37">
        <v>0</v>
      </c>
    </row>
    <row r="232" spans="1:8" ht="20.75" thickBot="1" x14ac:dyDescent="0.3">
      <c r="A232" s="3"/>
      <c r="B232" s="86" t="s">
        <v>307</v>
      </c>
      <c r="C232" s="87"/>
      <c r="D232" s="88"/>
      <c r="E232" s="45">
        <f>SUM(E228:E231)</f>
        <v>0</v>
      </c>
      <c r="F232" s="45">
        <f>SUM(F228:F231)</f>
        <v>29989.7</v>
      </c>
      <c r="G232" s="45">
        <f>SUM(G228:G231)</f>
        <v>0</v>
      </c>
      <c r="H232" s="45">
        <f>SUM(H228:H231)</f>
        <v>0</v>
      </c>
    </row>
    <row r="233" spans="1:8" ht="16.149999999999999" hidden="1" thickBot="1" x14ac:dyDescent="0.3">
      <c r="A233" s="3"/>
      <c r="B233" s="89" t="s">
        <v>32</v>
      </c>
      <c r="C233" s="90"/>
      <c r="D233" s="44">
        <v>0.18</v>
      </c>
      <c r="E233" s="38">
        <f>E232*$D233</f>
        <v>0</v>
      </c>
      <c r="F233" s="38">
        <f>F232*$D233</f>
        <v>5398.1459999999997</v>
      </c>
      <c r="G233" s="38">
        <f>G232*$D233</f>
        <v>0</v>
      </c>
      <c r="H233" s="38">
        <f>H232*$D233</f>
        <v>0</v>
      </c>
    </row>
    <row r="234" spans="1:8" ht="16.149999999999999" hidden="1" thickBot="1" x14ac:dyDescent="0.3">
      <c r="A234" s="3"/>
      <c r="B234" s="89" t="s">
        <v>33</v>
      </c>
      <c r="C234" s="90"/>
      <c r="D234" s="99"/>
      <c r="E234" s="29">
        <f>E233+E232</f>
        <v>0</v>
      </c>
      <c r="F234" s="29">
        <f>F233+F232</f>
        <v>35387.845999999998</v>
      </c>
      <c r="G234" s="29">
        <f>G233+G232</f>
        <v>0</v>
      </c>
      <c r="H234" s="29">
        <f>H233+H232</f>
        <v>0</v>
      </c>
    </row>
    <row r="235" spans="1:8" ht="16.149999999999999" hidden="1" thickBot="1" x14ac:dyDescent="0.3">
      <c r="A235" s="3"/>
      <c r="B235" s="89" t="s">
        <v>129</v>
      </c>
      <c r="C235" s="90"/>
      <c r="D235" s="44">
        <v>0.05</v>
      </c>
      <c r="E235" s="4">
        <f>E234*$D235</f>
        <v>0</v>
      </c>
      <c r="F235" s="4">
        <f>F234*$D235</f>
        <v>1769.3923</v>
      </c>
      <c r="G235" s="4">
        <f>G234*$D235</f>
        <v>0</v>
      </c>
      <c r="H235" s="4">
        <f>H234*$D235</f>
        <v>0</v>
      </c>
    </row>
    <row r="236" spans="1:8" ht="20.75" hidden="1" thickBot="1" x14ac:dyDescent="0.3">
      <c r="A236" s="3"/>
      <c r="B236" s="86" t="s">
        <v>306</v>
      </c>
      <c r="C236" s="87"/>
      <c r="D236" s="88"/>
      <c r="E236" s="30">
        <f>E234-E235</f>
        <v>0</v>
      </c>
      <c r="F236" s="30">
        <f>F234-F235</f>
        <v>33618.453699999998</v>
      </c>
      <c r="G236" s="30">
        <f>G234-G235</f>
        <v>0</v>
      </c>
      <c r="H236" s="30">
        <f>H234-H235</f>
        <v>0</v>
      </c>
    </row>
    <row r="237" spans="1:8" ht="20.75" thickBot="1" x14ac:dyDescent="0.3">
      <c r="A237" s="78" t="s">
        <v>113</v>
      </c>
      <c r="B237" s="96" t="s">
        <v>114</v>
      </c>
      <c r="C237" s="97"/>
      <c r="D237" s="98"/>
      <c r="E237" s="24" t="s">
        <v>305</v>
      </c>
      <c r="F237" s="24" t="s">
        <v>303</v>
      </c>
      <c r="G237" s="24" t="s">
        <v>304</v>
      </c>
      <c r="H237" s="24"/>
    </row>
    <row r="238" spans="1:8" ht="18.45" x14ac:dyDescent="0.25">
      <c r="A238" s="10" t="s">
        <v>289</v>
      </c>
      <c r="B238" s="11" t="s">
        <v>277</v>
      </c>
      <c r="C238" s="22">
        <v>1</v>
      </c>
      <c r="D238" s="21" t="s">
        <v>25</v>
      </c>
      <c r="E238" s="40">
        <f>'[12]Sheet 1'!$C11*115%*130%</f>
        <v>29152.5</v>
      </c>
      <c r="F238" s="41">
        <f>'[12]Sheet 1'!$N11*115%*130%</f>
        <v>0</v>
      </c>
      <c r="G238" s="42">
        <f>'[12]Sheet 1'!$W11*115%*130%</f>
        <v>0</v>
      </c>
      <c r="H238" s="12">
        <v>0</v>
      </c>
    </row>
    <row r="239" spans="1:8" ht="18.45" x14ac:dyDescent="0.25">
      <c r="A239" s="10" t="s">
        <v>290</v>
      </c>
      <c r="B239" s="11" t="s">
        <v>278</v>
      </c>
      <c r="C239" s="22">
        <v>1</v>
      </c>
      <c r="D239" s="21" t="s">
        <v>25</v>
      </c>
      <c r="E239" s="40">
        <f>'[12]Sheet 1'!$C12*115%*130%</f>
        <v>4186</v>
      </c>
      <c r="F239" s="41">
        <f>'[12]Sheet 1'!$N12*115%*130%</f>
        <v>0</v>
      </c>
      <c r="G239" s="42">
        <f>'[12]Sheet 1'!$W12*115%*130%</f>
        <v>0</v>
      </c>
      <c r="H239" s="12">
        <v>0</v>
      </c>
    </row>
    <row r="240" spans="1:8" ht="18.45" x14ac:dyDescent="0.25">
      <c r="A240" s="10" t="s">
        <v>291</v>
      </c>
      <c r="B240" s="11" t="s">
        <v>279</v>
      </c>
      <c r="C240" s="22">
        <v>1</v>
      </c>
      <c r="D240" s="21" t="s">
        <v>25</v>
      </c>
      <c r="E240" s="40">
        <f>'[12]Sheet 1'!$C13*115%*130%</f>
        <v>1042.0149999999999</v>
      </c>
      <c r="F240" s="41">
        <f>'[12]Sheet 1'!$N13*115%*130%</f>
        <v>0</v>
      </c>
      <c r="G240" s="42">
        <f>'[12]Sheet 1'!$W13*115%*130%</f>
        <v>0</v>
      </c>
      <c r="H240" s="12">
        <v>0</v>
      </c>
    </row>
    <row r="241" spans="1:8" ht="18.45" x14ac:dyDescent="0.25">
      <c r="A241" s="10" t="s">
        <v>292</v>
      </c>
      <c r="B241" s="11" t="s">
        <v>280</v>
      </c>
      <c r="C241" s="22">
        <v>1</v>
      </c>
      <c r="D241" s="21" t="s">
        <v>25</v>
      </c>
      <c r="E241" s="40">
        <f>'[12]Sheet 1'!$C14*115%*130%</f>
        <v>66527.5</v>
      </c>
      <c r="F241" s="41">
        <f>'[12]Sheet 1'!$N14*115%*130%</f>
        <v>0</v>
      </c>
      <c r="G241" s="42">
        <f>'[12]Sheet 1'!$W14*115%*130%</f>
        <v>0</v>
      </c>
      <c r="H241" s="12">
        <v>0</v>
      </c>
    </row>
    <row r="242" spans="1:8" ht="18.45" x14ac:dyDescent="0.25">
      <c r="A242" s="10" t="s">
        <v>293</v>
      </c>
      <c r="B242" s="11" t="s">
        <v>281</v>
      </c>
      <c r="C242" s="22">
        <v>1</v>
      </c>
      <c r="D242" s="21" t="s">
        <v>25</v>
      </c>
      <c r="E242" s="40">
        <f>'[12]Sheet 1'!$C15*115%*130%</f>
        <v>2242.5</v>
      </c>
      <c r="F242" s="41">
        <f>'[12]Sheet 1'!$N15*115%*130%</f>
        <v>0</v>
      </c>
      <c r="G242" s="42">
        <f>'[12]Sheet 1'!$W15*115%*130%</f>
        <v>0</v>
      </c>
      <c r="H242" s="12">
        <v>0</v>
      </c>
    </row>
    <row r="243" spans="1:8" ht="36.9" x14ac:dyDescent="0.25">
      <c r="A243" s="10" t="s">
        <v>294</v>
      </c>
      <c r="B243" s="11" t="s">
        <v>282</v>
      </c>
      <c r="C243" s="22">
        <v>1</v>
      </c>
      <c r="D243" s="21" t="s">
        <v>25</v>
      </c>
      <c r="E243" s="40">
        <f>'[12]Sheet 1'!$C16*115%*130%</f>
        <v>7624.5</v>
      </c>
      <c r="F243" s="41">
        <f>'[12]Sheet 1'!$N16*115%*130%</f>
        <v>0</v>
      </c>
      <c r="G243" s="42">
        <f>'[12]Sheet 1'!$W16*115%*130%</f>
        <v>0</v>
      </c>
      <c r="H243" s="12">
        <v>0</v>
      </c>
    </row>
    <row r="244" spans="1:8" ht="18.45" x14ac:dyDescent="0.25">
      <c r="A244" s="10" t="s">
        <v>295</v>
      </c>
      <c r="B244" s="11" t="s">
        <v>283</v>
      </c>
      <c r="C244" s="22">
        <v>1</v>
      </c>
      <c r="D244" s="21" t="s">
        <v>25</v>
      </c>
      <c r="E244" s="40">
        <f>'[12]Sheet 1'!$C17*115%*130%</f>
        <v>21677.5</v>
      </c>
      <c r="F244" s="41">
        <f>'[12]Sheet 1'!$N17*115%*130%</f>
        <v>0</v>
      </c>
      <c r="G244" s="42">
        <f>'[12]Sheet 1'!$W17*115%*130%</f>
        <v>0</v>
      </c>
      <c r="H244" s="12">
        <v>0</v>
      </c>
    </row>
    <row r="245" spans="1:8" ht="18.45" x14ac:dyDescent="0.25">
      <c r="A245" s="10" t="s">
        <v>296</v>
      </c>
      <c r="B245" s="11" t="s">
        <v>284</v>
      </c>
      <c r="C245" s="22">
        <v>1</v>
      </c>
      <c r="D245" s="21" t="s">
        <v>25</v>
      </c>
      <c r="E245" s="40">
        <f>'[12]Sheet 1'!$C18*115%*130%</f>
        <v>0</v>
      </c>
      <c r="F245" s="41">
        <f>'[12]Sheet 1'!$N18*115%*130%</f>
        <v>0</v>
      </c>
      <c r="G245" s="42">
        <f>'[12]Sheet 1'!$W18*115%*130%</f>
        <v>0</v>
      </c>
      <c r="H245" s="12">
        <v>0</v>
      </c>
    </row>
    <row r="246" spans="1:8" ht="18.45" x14ac:dyDescent="0.25">
      <c r="A246" s="10" t="s">
        <v>297</v>
      </c>
      <c r="B246" s="11" t="s">
        <v>285</v>
      </c>
      <c r="C246" s="22">
        <v>1</v>
      </c>
      <c r="D246" s="21" t="s">
        <v>25</v>
      </c>
      <c r="E246" s="40">
        <f>'[12]Sheet 1'!$C19*115%*130%</f>
        <v>0</v>
      </c>
      <c r="F246" s="41">
        <f>'[12]Sheet 1'!$N19*115%*130%</f>
        <v>0</v>
      </c>
      <c r="G246" s="42">
        <f>'[12]Sheet 1'!$W19*115%*130%</f>
        <v>0</v>
      </c>
      <c r="H246" s="12">
        <v>0</v>
      </c>
    </row>
    <row r="247" spans="1:8" ht="18.45" x14ac:dyDescent="0.25">
      <c r="A247" s="10" t="s">
        <v>298</v>
      </c>
      <c r="B247" s="11" t="s">
        <v>286</v>
      </c>
      <c r="C247" s="22">
        <v>1</v>
      </c>
      <c r="D247" s="21" t="s">
        <v>25</v>
      </c>
      <c r="E247" s="40">
        <f>'[12]Sheet 1'!$C20*115%*130%</f>
        <v>15697.499999999998</v>
      </c>
      <c r="F247" s="41">
        <f>'[12]Sheet 1'!$N20*115%*130%</f>
        <v>0</v>
      </c>
      <c r="G247" s="42">
        <f>'[12]Sheet 1'!$W20*115%*130%</f>
        <v>0</v>
      </c>
      <c r="H247" s="12">
        <v>0</v>
      </c>
    </row>
    <row r="248" spans="1:8" ht="18.45" x14ac:dyDescent="0.25">
      <c r="A248" s="10" t="s">
        <v>299</v>
      </c>
      <c r="B248" s="11" t="s">
        <v>287</v>
      </c>
      <c r="C248" s="22">
        <v>1</v>
      </c>
      <c r="D248" s="21" t="s">
        <v>25</v>
      </c>
      <c r="E248" s="40">
        <f>'[12]Sheet 1'!$C21*115%*130%</f>
        <v>16145.999999999998</v>
      </c>
      <c r="F248" s="41">
        <f>'[12]Sheet 1'!$N21*115%*130%</f>
        <v>0</v>
      </c>
      <c r="G248" s="42">
        <f>'[12]Sheet 1'!$W21*115%*130%</f>
        <v>0</v>
      </c>
      <c r="H248" s="12">
        <v>0</v>
      </c>
    </row>
    <row r="249" spans="1:8" ht="19.05" thickBot="1" x14ac:dyDescent="0.3">
      <c r="A249" s="10" t="s">
        <v>300</v>
      </c>
      <c r="B249" s="11" t="s">
        <v>288</v>
      </c>
      <c r="C249" s="22">
        <v>1</v>
      </c>
      <c r="D249" s="21" t="s">
        <v>25</v>
      </c>
      <c r="E249" s="40">
        <f>'[12]Sheet 1'!$C22*115%*130%</f>
        <v>34086</v>
      </c>
      <c r="F249" s="41">
        <f>'[12]Sheet 1'!$N22*115%*130%</f>
        <v>0</v>
      </c>
      <c r="G249" s="42">
        <f>'[12]Sheet 1'!$W22*115%*130%</f>
        <v>0</v>
      </c>
      <c r="H249" s="12">
        <v>0</v>
      </c>
    </row>
    <row r="250" spans="1:8" ht="20.75" thickBot="1" x14ac:dyDescent="0.3">
      <c r="A250" s="3"/>
      <c r="B250" s="86" t="s">
        <v>301</v>
      </c>
      <c r="C250" s="87"/>
      <c r="D250" s="88"/>
      <c r="E250" s="45">
        <f>SUM(E238:E249)</f>
        <v>198382.01500000001</v>
      </c>
      <c r="F250" s="45">
        <f>SUM(F238:F249)</f>
        <v>0</v>
      </c>
      <c r="G250" s="45">
        <f>SUM(G238:G249)</f>
        <v>0</v>
      </c>
      <c r="H250" s="45">
        <f>SUM(H238:H249)</f>
        <v>0</v>
      </c>
    </row>
    <row r="251" spans="1:8" ht="16.149999999999999" hidden="1" thickBot="1" x14ac:dyDescent="0.3">
      <c r="A251" s="3"/>
      <c r="B251" s="89" t="s">
        <v>32</v>
      </c>
      <c r="C251" s="90"/>
      <c r="D251" s="44">
        <v>0.18</v>
      </c>
      <c r="E251" s="38">
        <f>E250*$D251</f>
        <v>35708.762699999999</v>
      </c>
      <c r="F251" s="38">
        <f>F250*$D251</f>
        <v>0</v>
      </c>
      <c r="G251" s="38">
        <f>G250*$D251</f>
        <v>0</v>
      </c>
      <c r="H251" s="38">
        <f>H250*$D251</f>
        <v>0</v>
      </c>
    </row>
    <row r="252" spans="1:8" ht="16.149999999999999" hidden="1" thickBot="1" x14ac:dyDescent="0.3">
      <c r="A252" s="3"/>
      <c r="B252" s="89" t="s">
        <v>33</v>
      </c>
      <c r="C252" s="90"/>
      <c r="D252" s="99"/>
      <c r="E252" s="29">
        <f>E251+E250</f>
        <v>234090.77770000001</v>
      </c>
      <c r="F252" s="29">
        <f>F251+F250</f>
        <v>0</v>
      </c>
      <c r="G252" s="29">
        <f>G251+G250</f>
        <v>0</v>
      </c>
      <c r="H252" s="29">
        <f>H251+H250</f>
        <v>0</v>
      </c>
    </row>
    <row r="253" spans="1:8" ht="16.149999999999999" hidden="1" thickBot="1" x14ac:dyDescent="0.3">
      <c r="A253" s="3"/>
      <c r="B253" s="89" t="s">
        <v>129</v>
      </c>
      <c r="C253" s="90"/>
      <c r="D253" s="44">
        <v>0.05</v>
      </c>
      <c r="E253" s="4">
        <f>E252*$D253</f>
        <v>11704.538885000002</v>
      </c>
      <c r="F253" s="4">
        <f>F252*$D253</f>
        <v>0</v>
      </c>
      <c r="G253" s="4">
        <f>G252*$D253</f>
        <v>0</v>
      </c>
      <c r="H253" s="4">
        <f>H252*$D253</f>
        <v>0</v>
      </c>
    </row>
    <row r="254" spans="1:8" ht="20.75" hidden="1" customHeight="1" thickBot="1" x14ac:dyDescent="0.3">
      <c r="A254" s="3"/>
      <c r="B254" s="86" t="s">
        <v>302</v>
      </c>
      <c r="C254" s="87"/>
      <c r="D254" s="88"/>
      <c r="E254" s="30">
        <f t="shared" ref="E254:H255" si="0">E252-E253</f>
        <v>222386.23881499999</v>
      </c>
      <c r="F254" s="30">
        <f t="shared" si="0"/>
        <v>0</v>
      </c>
      <c r="G254" s="30">
        <f t="shared" si="0"/>
        <v>0</v>
      </c>
      <c r="H254" s="30">
        <f t="shared" si="0"/>
        <v>0</v>
      </c>
    </row>
    <row r="255" spans="1:8" ht="20.75" hidden="1" customHeight="1" thickBot="1" x14ac:dyDescent="0.3">
      <c r="A255" s="3"/>
      <c r="B255" s="86" t="s">
        <v>453</v>
      </c>
      <c r="C255" s="87"/>
      <c r="D255" s="88"/>
      <c r="E255" s="30">
        <f t="shared" si="0"/>
        <v>-210681.69993</v>
      </c>
      <c r="F255" s="30">
        <f t="shared" si="0"/>
        <v>0</v>
      </c>
      <c r="G255" s="30">
        <f t="shared" si="0"/>
        <v>0</v>
      </c>
      <c r="H255" s="30">
        <f t="shared" si="0"/>
        <v>0</v>
      </c>
    </row>
    <row r="256" spans="1:8" ht="29.95" thickBot="1" x14ac:dyDescent="0.3">
      <c r="A256" s="116" t="s">
        <v>15</v>
      </c>
      <c r="B256" s="117"/>
      <c r="C256" s="117"/>
      <c r="D256" s="117"/>
      <c r="E256" s="117"/>
      <c r="F256" s="117"/>
      <c r="G256" s="117"/>
      <c r="H256" s="118"/>
    </row>
    <row r="257" spans="1:8" ht="17.3" x14ac:dyDescent="0.25">
      <c r="A257" s="115" t="s">
        <v>16</v>
      </c>
      <c r="B257" s="115"/>
      <c r="C257" s="115"/>
      <c r="D257" s="115"/>
      <c r="E257" s="115"/>
      <c r="F257" s="115"/>
      <c r="G257" s="115"/>
      <c r="H257" s="115"/>
    </row>
    <row r="258" spans="1:8" ht="18.45" x14ac:dyDescent="0.25">
      <c r="A258" s="104" t="str">
        <f>" -  Price are as per actual basis."</f>
        <v xml:space="preserve"> -  Price are as per actual basis.</v>
      </c>
      <c r="B258" s="104"/>
      <c r="C258" s="104"/>
      <c r="D258" s="104"/>
      <c r="E258" s="104"/>
      <c r="F258" s="104"/>
      <c r="G258" s="104"/>
      <c r="H258" s="104"/>
    </row>
    <row r="259" spans="1:8" ht="17.3" x14ac:dyDescent="0.25">
      <c r="A259" s="106" t="str">
        <f>" -  GST Tax is NOT Included on Supply Rates"</f>
        <v xml:space="preserve"> -  GST Tax is NOT Included on Supply Rates</v>
      </c>
      <c r="B259" s="106"/>
      <c r="C259" s="106"/>
      <c r="D259" s="106"/>
      <c r="E259" s="106"/>
      <c r="F259" s="106"/>
      <c r="G259" s="106"/>
      <c r="H259" s="106"/>
    </row>
    <row r="260" spans="1:8" ht="17.3" hidden="1" x14ac:dyDescent="0.25">
      <c r="A260" s="106" t="str">
        <f>" -  Service Tax is mentioned separately on Installation Rates."</f>
        <v xml:space="preserve"> -  Service Tax is mentioned separately on Installation Rates.</v>
      </c>
      <c r="B260" s="106"/>
      <c r="C260" s="106"/>
      <c r="D260" s="106"/>
      <c r="E260" s="106"/>
      <c r="F260" s="106"/>
      <c r="G260" s="106"/>
      <c r="H260" s="106"/>
    </row>
    <row r="261" spans="1:8" ht="17.3" x14ac:dyDescent="0.25">
      <c r="A261" s="106" t="str">
        <f>" - Currency : Unit of Currency of this quotations is PKR ."</f>
        <v xml:space="preserve"> - Currency : Unit of Currency of this quotations is PKR .</v>
      </c>
      <c r="B261" s="106"/>
      <c r="C261" s="106"/>
      <c r="D261" s="106"/>
      <c r="E261" s="106"/>
      <c r="F261" s="106"/>
      <c r="G261" s="106"/>
      <c r="H261" s="106"/>
    </row>
    <row r="262" spans="1:8" ht="17.3" hidden="1" x14ac:dyDescent="0.25">
      <c r="A262" s="108" t="str">
        <f>" - Payment :  70% Advance Payment after Order Confirmation and Advance Payment, 20% on System Delivery, 10% Before System Testing &amp; Commissioning."</f>
        <v xml:space="preserve"> - Payment :  70% Advance Payment after Order Confirmation and Advance Payment, 20% on System Delivery, 10% Before System Testing &amp; Commissioning.</v>
      </c>
      <c r="B262" s="108"/>
      <c r="C262" s="108"/>
      <c r="D262" s="108"/>
      <c r="E262" s="108"/>
      <c r="F262" s="108"/>
      <c r="G262" s="108"/>
      <c r="H262" s="108"/>
    </row>
    <row r="263" spans="1:8" ht="17.3" hidden="1" x14ac:dyDescent="0.25">
      <c r="A263" s="108" t="str">
        <f>" - Payment :  100% Advance Payment after Order Confirmation and Advance Payment."</f>
        <v xml:space="preserve"> - Payment :  100% Advance Payment after Order Confirmation and Advance Payment.</v>
      </c>
      <c r="B263" s="108"/>
      <c r="C263" s="108"/>
      <c r="D263" s="108"/>
      <c r="E263" s="108"/>
      <c r="F263" s="108"/>
      <c r="G263" s="108"/>
      <c r="H263" s="108"/>
    </row>
    <row r="264" spans="1:8" ht="17.3" x14ac:dyDescent="0.25">
      <c r="A264" s="108" t="str">
        <f>" - Payment as per Agreed."</f>
        <v xml:space="preserve"> - Payment as per Agreed.</v>
      </c>
      <c r="B264" s="108"/>
      <c r="C264" s="108"/>
      <c r="D264" s="108"/>
      <c r="E264" s="108"/>
      <c r="F264" s="108"/>
      <c r="G264" s="108"/>
      <c r="H264" s="108"/>
    </row>
    <row r="265" spans="1:8" ht="17.3" x14ac:dyDescent="0.25">
      <c r="A265" s="107" t="s">
        <v>17</v>
      </c>
      <c r="B265" s="107"/>
      <c r="C265" s="107"/>
      <c r="D265" s="107"/>
      <c r="E265" s="107"/>
      <c r="F265" s="107"/>
      <c r="G265" s="107"/>
      <c r="H265" s="107"/>
    </row>
    <row r="266" spans="1:8" ht="18.45" x14ac:dyDescent="0.25">
      <c r="A266" s="104" t="str">
        <f>" -  items will be delivered AS PER AGREED TERMS."</f>
        <v xml:space="preserve"> -  items will be delivered AS PER AGREED TERMS.</v>
      </c>
      <c r="B266" s="104"/>
      <c r="C266" s="104"/>
      <c r="D266" s="104"/>
      <c r="E266" s="104"/>
      <c r="F266" s="104"/>
      <c r="G266" s="104"/>
      <c r="H266" s="104"/>
    </row>
    <row r="267" spans="1:8" ht="17.3" x14ac:dyDescent="0.25">
      <c r="A267" s="107" t="s">
        <v>18</v>
      </c>
      <c r="B267" s="107"/>
      <c r="C267" s="107"/>
      <c r="D267" s="107"/>
      <c r="E267" s="107"/>
      <c r="F267" s="107"/>
      <c r="G267" s="107"/>
      <c r="H267" s="107"/>
    </row>
    <row r="268" spans="1:8" ht="38.6" customHeight="1" x14ac:dyDescent="0.25">
      <c r="A268" s="104" t="str">
        <f>" -  This Warranty covers the defects resulting from defective parts, items, materials or manufacturing if such defects are revealed during the period of 12 months since the date of purchase."</f>
        <v xml:space="preserve"> -  This Warranty covers the defects resulting from defective parts, items, materials or manufacturing if such defects are revealed during the period of 12 months since the date of purchase.</v>
      </c>
      <c r="B268" s="104"/>
      <c r="C268" s="104"/>
      <c r="D268" s="104"/>
      <c r="E268" s="104"/>
      <c r="F268" s="104"/>
      <c r="G268" s="104"/>
      <c r="H268" s="104"/>
    </row>
    <row r="269" spans="1:8" ht="18.45" x14ac:dyDescent="0.25">
      <c r="A269" s="104" t="str">
        <f>" -  The Warranty does not cover consumables or parts of limited regular functionality due to their natural wear and tear."</f>
        <v xml:space="preserve"> -  The Warranty does not cover consumables or parts of limited regular functionality due to their natural wear and tear.</v>
      </c>
      <c r="B269" s="104"/>
      <c r="C269" s="104"/>
      <c r="D269" s="104"/>
      <c r="E269" s="104"/>
      <c r="F269" s="104"/>
      <c r="G269" s="104"/>
      <c r="H269" s="104"/>
    </row>
    <row r="270" spans="1:8" ht="43.8" customHeight="1" x14ac:dyDescent="0.25">
      <c r="A270" s="104" t="str">
        <f>" -  The Warranty does not cover Damages: Mechanical or electric damages resulting from incorrect installation, configuration, usage,"&amp;" Improper Maintenance or other activities incompatible with the operation manual or contradictory to technical specifications of the product."</f>
        <v xml:space="preserve"> -  The Warranty does not cover Damages: Mechanical or electric damages resulting from incorrect installation, configuration, usage, Improper Maintenance or other activities incompatible with the operation manual or contradictory to technical specifications of the product.</v>
      </c>
      <c r="B270" s="104"/>
      <c r="C270" s="104"/>
      <c r="D270" s="104"/>
      <c r="E270" s="104"/>
      <c r="F270" s="104"/>
      <c r="G270" s="104"/>
      <c r="H270" s="104"/>
    </row>
    <row r="271" spans="1:8" ht="39.75" customHeight="1" x14ac:dyDescent="0.25">
      <c r="A271" s="104" t="str">
        <f>" -  The Warranty does not cover Damages caused by acts of God, floods, fires, lighting or other natural disasters, wars, unexpected events, inappropriate voltage or other external factors"</f>
        <v xml:space="preserve"> -  The Warranty does not cover Damages caused by acts of God, floods, fires, lighting or other natural disasters, wars, unexpected events, inappropriate voltage or other external factors</v>
      </c>
      <c r="B271" s="104"/>
      <c r="C271" s="104"/>
      <c r="D271" s="104"/>
      <c r="E271" s="104"/>
      <c r="F271" s="104"/>
      <c r="G271" s="104"/>
      <c r="H271" s="104"/>
    </row>
    <row r="272" spans="1:8" ht="18.45" x14ac:dyDescent="0.25">
      <c r="A272" s="104" t="str">
        <f>" -  The Warranty does not cover Damages result as a result of using chemical cleaning materials made."</f>
        <v xml:space="preserve"> -  The Warranty does not cover Damages result as a result of using chemical cleaning materials made.</v>
      </c>
      <c r="B272" s="104"/>
      <c r="C272" s="104"/>
      <c r="D272" s="104"/>
      <c r="E272" s="104"/>
      <c r="F272" s="104"/>
      <c r="G272" s="104"/>
      <c r="H272" s="104"/>
    </row>
    <row r="273" spans="1:8" ht="17.3" x14ac:dyDescent="0.25">
      <c r="A273" s="107" t="s">
        <v>19</v>
      </c>
      <c r="B273" s="107"/>
      <c r="C273" s="107"/>
      <c r="D273" s="107"/>
      <c r="E273" s="107"/>
      <c r="F273" s="107"/>
      <c r="G273" s="107"/>
      <c r="H273" s="107"/>
    </row>
    <row r="274" spans="1:8" ht="18.45" x14ac:dyDescent="0.25">
      <c r="A274" s="104" t="str">
        <f>" -  Quotation validity as per agreed. "</f>
        <v xml:space="preserve"> -  Quotation validity as per agreed. </v>
      </c>
      <c r="B274" s="104"/>
      <c r="C274" s="104"/>
      <c r="D274" s="104"/>
      <c r="E274" s="104"/>
      <c r="F274" s="104"/>
      <c r="G274" s="104"/>
      <c r="H274" s="104"/>
    </row>
    <row r="275" spans="1:8" ht="18.45" x14ac:dyDescent="0.25">
      <c r="A275" s="104" t="str">
        <f>" -  Due to currency devaluation, Seller will reserve the right to adjust their prices if the exchange rate varies greater than +1% of the Quotation Value."</f>
        <v xml:space="preserve"> -  Due to currency devaluation, Seller will reserve the right to adjust their prices if the exchange rate varies greater than +1% of the Quotation Value.</v>
      </c>
      <c r="B275" s="104"/>
      <c r="C275" s="104"/>
      <c r="D275" s="104"/>
      <c r="E275" s="104"/>
      <c r="F275" s="104"/>
      <c r="G275" s="104"/>
      <c r="H275" s="104"/>
    </row>
    <row r="276" spans="1:8" ht="18.45" x14ac:dyDescent="0.25">
      <c r="A276" s="104"/>
      <c r="B276" s="104"/>
      <c r="C276" s="104"/>
      <c r="D276" s="104"/>
      <c r="E276" s="104"/>
      <c r="F276" s="104"/>
      <c r="G276" s="104"/>
      <c r="H276" s="104"/>
    </row>
    <row r="277" spans="1:8" ht="17.3" x14ac:dyDescent="0.25">
      <c r="A277" s="107" t="s">
        <v>20</v>
      </c>
      <c r="B277" s="107"/>
      <c r="C277" s="107"/>
      <c r="D277" s="107"/>
      <c r="E277" s="107"/>
      <c r="F277" s="107"/>
      <c r="G277" s="107"/>
      <c r="H277" s="107"/>
    </row>
    <row r="278" spans="1:8" ht="18.45" x14ac:dyDescent="0.25">
      <c r="A278" s="104" t="str">
        <f>" -  Prices Equipments are for Ex-Karachi. Any further transportation will be charged accordingly. "</f>
        <v xml:space="preserve"> -  Prices Equipments are for Ex-Karachi. Any further transportation will be charged accordingly. </v>
      </c>
      <c r="B278" s="104"/>
      <c r="C278" s="104"/>
      <c r="D278" s="104"/>
      <c r="E278" s="104"/>
      <c r="F278" s="104"/>
      <c r="G278" s="104"/>
      <c r="H278" s="104"/>
    </row>
    <row r="279" spans="1:8" ht="18.45" x14ac:dyDescent="0.25">
      <c r="A279" s="104" t="str">
        <f>" -  Power for the Work at Site will be in client scope. "</f>
        <v xml:space="preserve"> -  Power for the Work at Site will be in client scope. </v>
      </c>
      <c r="B279" s="104"/>
      <c r="C279" s="104"/>
      <c r="D279" s="104"/>
      <c r="E279" s="104"/>
      <c r="F279" s="104"/>
      <c r="G279" s="104"/>
      <c r="H279" s="104"/>
    </row>
    <row r="280" spans="1:8" ht="18.45" x14ac:dyDescent="0.25">
      <c r="A280" s="104" t="str">
        <f>" -  Continuous Supply And Storage will be in client scope. "</f>
        <v xml:space="preserve"> -  Continuous Supply And Storage will be in client scope. </v>
      </c>
      <c r="B280" s="104"/>
      <c r="C280" s="104"/>
      <c r="D280" s="104"/>
      <c r="E280" s="104"/>
      <c r="F280" s="104"/>
      <c r="G280" s="104"/>
      <c r="H280" s="104"/>
    </row>
    <row r="281" spans="1:8" ht="18.45" x14ac:dyDescent="0.25">
      <c r="A281" s="104" t="str">
        <f>" -  Transportation, Accommodation &amp; Food for My Tech Team will be client's responsibility. "</f>
        <v xml:space="preserve"> -  Transportation, Accommodation &amp; Food for My Tech Team will be client's responsibility. </v>
      </c>
      <c r="B281" s="104"/>
      <c r="C281" s="104"/>
      <c r="D281" s="104"/>
      <c r="E281" s="104"/>
      <c r="F281" s="104"/>
      <c r="G281" s="104"/>
      <c r="H281" s="104"/>
    </row>
    <row r="282" spans="1:8" ht="17.3" x14ac:dyDescent="0.25">
      <c r="A282" s="107" t="s">
        <v>22</v>
      </c>
      <c r="B282" s="107"/>
      <c r="C282" s="107"/>
      <c r="D282" s="107"/>
      <c r="E282" s="107"/>
      <c r="F282" s="107"/>
      <c r="G282" s="107"/>
      <c r="H282" s="107"/>
    </row>
    <row r="283" spans="1:8" ht="18.45" x14ac:dyDescent="0.25">
      <c r="A283" s="104" t="str">
        <f>" -  After placing the Purchase Order, Any item if cancelled by client, 30% of its value shall be charged conditioned with MyTech acceptance on the same."</f>
        <v xml:space="preserve"> -  After placing the Purchase Order, Any item if cancelled by client, 30% of its value shall be charged conditioned with MyTech acceptance on the same.</v>
      </c>
      <c r="B283" s="104"/>
      <c r="C283" s="104"/>
      <c r="D283" s="104"/>
      <c r="E283" s="104"/>
      <c r="F283" s="104"/>
      <c r="G283" s="104"/>
      <c r="H283" s="104"/>
    </row>
    <row r="284" spans="1:8" ht="18.45" x14ac:dyDescent="0.25">
      <c r="A284" s="104" t="str">
        <f>" -  The Prices in the above Quotation are based on Total Purchase, No Partial Purchase shall be accepted."</f>
        <v xml:space="preserve"> -  The Prices in the above Quotation are based on Total Purchase, No Partial Purchase shall be accepted.</v>
      </c>
      <c r="B284" s="104"/>
      <c r="C284" s="104"/>
      <c r="D284" s="104"/>
      <c r="E284" s="104"/>
      <c r="F284" s="104"/>
      <c r="G284" s="104"/>
      <c r="H284" s="104"/>
    </row>
    <row r="285" spans="1:8" ht="18.45" x14ac:dyDescent="0.25">
      <c r="A285" s="104" t="str">
        <f>" -  Purchase Orders must contain our Quotation Number for which it is issue."</f>
        <v xml:space="preserve"> -  Purchase Orders must contain our Quotation Number for which it is issue.</v>
      </c>
      <c r="B285" s="104"/>
      <c r="C285" s="104"/>
      <c r="D285" s="104"/>
      <c r="E285" s="104"/>
      <c r="F285" s="104"/>
      <c r="G285" s="104"/>
      <c r="H285" s="104"/>
    </row>
    <row r="286" spans="1:8" ht="17.3" x14ac:dyDescent="0.25">
      <c r="A286" s="107" t="s">
        <v>21</v>
      </c>
      <c r="B286" s="107"/>
      <c r="C286" s="107"/>
      <c r="D286" s="107"/>
      <c r="E286" s="107"/>
      <c r="F286" s="107"/>
      <c r="G286" s="107"/>
      <c r="H286" s="107"/>
    </row>
    <row r="287" spans="1:8" ht="18.45" x14ac:dyDescent="0.25">
      <c r="A287" s="104" t="str">
        <f>" -  If Quotation finally gets the winning marks, then LOI must be shared with us before Purchase Order."</f>
        <v xml:space="preserve"> -  If Quotation finally gets the winning marks, then LOI must be shared with us before Purchase Order.</v>
      </c>
      <c r="B287" s="104"/>
      <c r="C287" s="104"/>
      <c r="D287" s="104"/>
      <c r="E287" s="104"/>
      <c r="F287" s="104"/>
      <c r="G287" s="104"/>
      <c r="H287" s="104"/>
    </row>
    <row r="288" spans="1:8" ht="42.65" customHeight="1" x14ac:dyDescent="0.25">
      <c r="A288" s="104" t="str">
        <f>" -  This agreement shall be performed by the BUYER and the SUPPLIER with sincerity. Any questions arising in connection with this agreement,"&amp;" which are not resolved by the clauses of this agreement shall be promptly resolved through good faith discussion between both parties so as o reach consensus amicably."</f>
        <v xml:space="preserve"> -  This agreement shall be performed by the BUYER and the SUPPLIER with sincerity. Any questions arising in connection with this agreement, which are not resolved by the clauses of this agreement shall be promptly resolved through good faith discussion between both parties so as o reach consensus amicably.</v>
      </c>
      <c r="B288" s="104"/>
      <c r="C288" s="104"/>
      <c r="D288" s="104"/>
      <c r="E288" s="104"/>
      <c r="F288" s="104"/>
      <c r="G288" s="104"/>
      <c r="H288" s="104"/>
    </row>
    <row r="289" spans="1:8" ht="18.45" x14ac:dyDescent="0.25">
      <c r="A289" s="104" t="str">
        <f>" -  This agreement is to be governed by, and interpreted strictly in accordance with the laws of Islamic Republic of Pakistan."</f>
        <v xml:space="preserve"> -  This agreement is to be governed by, and interpreted strictly in accordance with the laws of Islamic Republic of Pakistan.</v>
      </c>
      <c r="B289" s="104"/>
      <c r="C289" s="104"/>
      <c r="D289" s="104"/>
      <c r="E289" s="104"/>
      <c r="F289" s="104"/>
      <c r="G289" s="104"/>
      <c r="H289" s="104"/>
    </row>
    <row r="290" spans="1:8" x14ac:dyDescent="0.25">
      <c r="A290" s="8"/>
      <c r="B290" s="8"/>
      <c r="C290" s="8"/>
      <c r="D290" s="8"/>
      <c r="E290" s="8"/>
      <c r="F290" s="8"/>
      <c r="G290" s="8"/>
      <c r="H290" s="8"/>
    </row>
    <row r="291" spans="1:8" x14ac:dyDescent="0.25">
      <c r="A291" s="8"/>
      <c r="B291" s="8"/>
      <c r="C291" s="8"/>
      <c r="D291" s="8"/>
      <c r="E291" s="8"/>
      <c r="F291" s="8"/>
      <c r="G291" s="8"/>
      <c r="H291" s="8"/>
    </row>
    <row r="292" spans="1:8" ht="24.8" x14ac:dyDescent="0.25">
      <c r="A292" s="105" t="s">
        <v>23</v>
      </c>
      <c r="B292" s="105"/>
      <c r="C292" s="8"/>
      <c r="D292" s="8"/>
      <c r="E292" s="8"/>
      <c r="F292" s="8"/>
      <c r="G292" s="8"/>
      <c r="H292" s="8"/>
    </row>
    <row r="293" spans="1:8" ht="20.2" x14ac:dyDescent="0.25">
      <c r="A293" s="103" t="s">
        <v>24</v>
      </c>
      <c r="B293" s="103"/>
      <c r="C293" s="103"/>
      <c r="D293" s="103"/>
      <c r="E293" s="103"/>
      <c r="F293" s="103"/>
      <c r="G293" s="103"/>
      <c r="H293" s="103"/>
    </row>
    <row r="294" spans="1:8" x14ac:dyDescent="0.25">
      <c r="A294" s="16"/>
      <c r="B294" s="16"/>
      <c r="C294" s="16"/>
      <c r="D294" s="16"/>
      <c r="E294" s="16"/>
      <c r="F294" s="16"/>
      <c r="G294" s="16"/>
      <c r="H294" s="16"/>
    </row>
    <row r="295" spans="1:8" x14ac:dyDescent="0.25">
      <c r="A295" s="16"/>
      <c r="B295" s="16"/>
      <c r="C295" s="16"/>
      <c r="D295" s="16"/>
      <c r="E295" s="16"/>
      <c r="F295" s="16"/>
      <c r="G295" s="16"/>
      <c r="H295" s="16"/>
    </row>
    <row r="296" spans="1:8" ht="20.75" x14ac:dyDescent="0.25">
      <c r="A296" s="110" t="s">
        <v>5</v>
      </c>
      <c r="B296" s="110"/>
      <c r="C296" s="18"/>
      <c r="D296" s="111" t="s">
        <v>6</v>
      </c>
      <c r="E296" s="111"/>
      <c r="F296" s="111"/>
      <c r="G296" s="111"/>
      <c r="H296" s="111"/>
    </row>
    <row r="297" spans="1:8" ht="20.75" x14ac:dyDescent="0.25">
      <c r="A297" s="112" t="s">
        <v>7</v>
      </c>
      <c r="B297" s="112"/>
      <c r="C297" s="19"/>
      <c r="D297" s="112" t="s">
        <v>8</v>
      </c>
      <c r="E297" s="112"/>
      <c r="F297" s="112"/>
      <c r="G297" s="112"/>
      <c r="H297" s="112"/>
    </row>
    <row r="298" spans="1:8" ht="20.75" x14ac:dyDescent="0.25">
      <c r="A298" s="113" t="s">
        <v>9</v>
      </c>
      <c r="B298" s="113"/>
      <c r="C298" s="20"/>
      <c r="D298" s="113" t="s">
        <v>10</v>
      </c>
      <c r="E298" s="113"/>
      <c r="F298" s="113"/>
      <c r="G298" s="113"/>
      <c r="H298" s="113"/>
    </row>
    <row r="299" spans="1:8" ht="20.75" x14ac:dyDescent="0.25">
      <c r="A299" s="114" t="s">
        <v>11</v>
      </c>
      <c r="B299" s="114"/>
      <c r="C299" s="19"/>
      <c r="D299" s="114" t="s">
        <v>12</v>
      </c>
      <c r="E299" s="114"/>
      <c r="F299" s="114"/>
      <c r="G299" s="114"/>
      <c r="H299" s="114"/>
    </row>
    <row r="300" spans="1:8" ht="20.75" x14ac:dyDescent="0.25">
      <c r="A300" s="109" t="s">
        <v>13</v>
      </c>
      <c r="B300" s="109"/>
      <c r="C300" s="23"/>
      <c r="D300" s="109" t="s">
        <v>14</v>
      </c>
      <c r="E300" s="109"/>
      <c r="F300" s="109"/>
      <c r="G300" s="109"/>
      <c r="H300" s="109"/>
    </row>
  </sheetData>
  <autoFilter ref="A8:H91" xr:uid="{00000000-0009-0000-0000-000000000000}"/>
  <mergeCells count="125">
    <mergeCell ref="B150:C150"/>
    <mergeCell ref="B186:D186"/>
    <mergeCell ref="B88:D88"/>
    <mergeCell ref="B89:C89"/>
    <mergeCell ref="B91:C91"/>
    <mergeCell ref="B131:D131"/>
    <mergeCell ref="B132:C132"/>
    <mergeCell ref="B34:D34"/>
    <mergeCell ref="B35:C35"/>
    <mergeCell ref="B37:C37"/>
    <mergeCell ref="B51:D51"/>
    <mergeCell ref="B52:C52"/>
    <mergeCell ref="B93:D93"/>
    <mergeCell ref="B90:D90"/>
    <mergeCell ref="B92:D92"/>
    <mergeCell ref="B36:D36"/>
    <mergeCell ref="B38:D38"/>
    <mergeCell ref="B40:D40"/>
    <mergeCell ref="B57:D57"/>
    <mergeCell ref="B53:D53"/>
    <mergeCell ref="B55:D55"/>
    <mergeCell ref="B56:D56"/>
    <mergeCell ref="B54:C54"/>
    <mergeCell ref="B152:D152"/>
    <mergeCell ref="A256:H256"/>
    <mergeCell ref="B189:D189"/>
    <mergeCell ref="B194:D194"/>
    <mergeCell ref="B202:D202"/>
    <mergeCell ref="B204:D204"/>
    <mergeCell ref="B237:D237"/>
    <mergeCell ref="B252:D252"/>
    <mergeCell ref="B254:D254"/>
    <mergeCell ref="B227:D227"/>
    <mergeCell ref="B234:D234"/>
    <mergeCell ref="B236:D236"/>
    <mergeCell ref="B255:D255"/>
    <mergeCell ref="B167:D167"/>
    <mergeCell ref="B169:D169"/>
    <mergeCell ref="B165:D165"/>
    <mergeCell ref="B166:C166"/>
    <mergeCell ref="B168:C168"/>
    <mergeCell ref="B207:D207"/>
    <mergeCell ref="B224:D224"/>
    <mergeCell ref="B226:D226"/>
    <mergeCell ref="B222:D222"/>
    <mergeCell ref="B223:C223"/>
    <mergeCell ref="B205:C205"/>
    <mergeCell ref="B225:C225"/>
    <mergeCell ref="B191:D191"/>
    <mergeCell ref="B193:D193"/>
    <mergeCell ref="B170:D170"/>
    <mergeCell ref="B183:D183"/>
    <mergeCell ref="B185:D185"/>
    <mergeCell ref="B181:D181"/>
    <mergeCell ref="B182:C182"/>
    <mergeCell ref="B184:C184"/>
    <mergeCell ref="A288:H288"/>
    <mergeCell ref="A289:H289"/>
    <mergeCell ref="A287:H287"/>
    <mergeCell ref="A286:H286"/>
    <mergeCell ref="A283:H283"/>
    <mergeCell ref="A284:H284"/>
    <mergeCell ref="A258:H258"/>
    <mergeCell ref="A257:H257"/>
    <mergeCell ref="A263:H263"/>
    <mergeCell ref="A259:H259"/>
    <mergeCell ref="A260:H260"/>
    <mergeCell ref="A300:B300"/>
    <mergeCell ref="D300:H300"/>
    <mergeCell ref="A296:B296"/>
    <mergeCell ref="D296:H296"/>
    <mergeCell ref="A297:B297"/>
    <mergeCell ref="D297:H297"/>
    <mergeCell ref="A298:B298"/>
    <mergeCell ref="D298:H298"/>
    <mergeCell ref="A299:B299"/>
    <mergeCell ref="D299:H299"/>
    <mergeCell ref="A293:H293"/>
    <mergeCell ref="A279:H279"/>
    <mergeCell ref="A292:B292"/>
    <mergeCell ref="A270:H270"/>
    <mergeCell ref="A261:H261"/>
    <mergeCell ref="A269:H269"/>
    <mergeCell ref="A273:H273"/>
    <mergeCell ref="A266:H266"/>
    <mergeCell ref="A264:H264"/>
    <mergeCell ref="A262:H262"/>
    <mergeCell ref="A265:H265"/>
    <mergeCell ref="A278:H278"/>
    <mergeCell ref="A267:H267"/>
    <mergeCell ref="A268:H268"/>
    <mergeCell ref="A272:H272"/>
    <mergeCell ref="A271:H271"/>
    <mergeCell ref="A274:H274"/>
    <mergeCell ref="A277:H277"/>
    <mergeCell ref="A276:H276"/>
    <mergeCell ref="A275:H275"/>
    <mergeCell ref="A280:H280"/>
    <mergeCell ref="A285:H285"/>
    <mergeCell ref="A282:H282"/>
    <mergeCell ref="A281:H281"/>
    <mergeCell ref="A6:H7"/>
    <mergeCell ref="B250:D250"/>
    <mergeCell ref="B251:C251"/>
    <mergeCell ref="B253:C253"/>
    <mergeCell ref="C3:H3"/>
    <mergeCell ref="C4:H4"/>
    <mergeCell ref="C5:H5"/>
    <mergeCell ref="B9:H9"/>
    <mergeCell ref="B10:D10"/>
    <mergeCell ref="B133:D133"/>
    <mergeCell ref="B135:D135"/>
    <mergeCell ref="B134:C134"/>
    <mergeCell ref="B136:D136"/>
    <mergeCell ref="B149:D149"/>
    <mergeCell ref="B151:D151"/>
    <mergeCell ref="B147:D147"/>
    <mergeCell ref="B148:C148"/>
    <mergeCell ref="B232:D232"/>
    <mergeCell ref="B233:C233"/>
    <mergeCell ref="B235:C235"/>
    <mergeCell ref="B206:D206"/>
    <mergeCell ref="B190:C190"/>
    <mergeCell ref="B192:C192"/>
    <mergeCell ref="B203:C203"/>
  </mergeCells>
  <phoneticPr fontId="41" type="noConversion"/>
  <conditionalFormatting sqref="E11:G11">
    <cfRule type="colorScale" priority="200">
      <colorScale>
        <cfvo type="percent" val="0"/>
        <cfvo type="percentile" val="50"/>
        <cfvo type="percent" val="100"/>
        <color rgb="FFD0EBB3"/>
        <color rgb="FFFFF2B3"/>
        <color rgb="FFFCBABC"/>
      </colorScale>
    </cfRule>
  </conditionalFormatting>
  <conditionalFormatting sqref="E12:G12">
    <cfRule type="colorScale" priority="199">
      <colorScale>
        <cfvo type="percent" val="0"/>
        <cfvo type="percentile" val="50"/>
        <cfvo type="percent" val="100"/>
        <color rgb="FFD0EBB3"/>
        <color rgb="FFFFF2B3"/>
        <color rgb="FFFCBABC"/>
      </colorScale>
    </cfRule>
  </conditionalFormatting>
  <conditionalFormatting sqref="E13:G13">
    <cfRule type="colorScale" priority="198">
      <colorScale>
        <cfvo type="percent" val="0"/>
        <cfvo type="percentile" val="50"/>
        <cfvo type="percent" val="100"/>
        <color rgb="FFD0EBB3"/>
        <color rgb="FFFFF2B3"/>
        <color rgb="FFFCBABC"/>
      </colorScale>
    </cfRule>
  </conditionalFormatting>
  <conditionalFormatting sqref="E14:G14">
    <cfRule type="colorScale" priority="197">
      <colorScale>
        <cfvo type="percent" val="0"/>
        <cfvo type="percentile" val="50"/>
        <cfvo type="percent" val="100"/>
        <color rgb="FFD0EBB3"/>
        <color rgb="FFFFF2B3"/>
        <color rgb="FFFCBABC"/>
      </colorScale>
    </cfRule>
  </conditionalFormatting>
  <conditionalFormatting sqref="E15:G15">
    <cfRule type="colorScale" priority="196">
      <colorScale>
        <cfvo type="percent" val="0"/>
        <cfvo type="percentile" val="50"/>
        <cfvo type="percent" val="100"/>
        <color rgb="FFD0EBB3"/>
        <color rgb="FFFFF2B3"/>
        <color rgb="FFFCBABC"/>
      </colorScale>
    </cfRule>
  </conditionalFormatting>
  <conditionalFormatting sqref="E16:G16">
    <cfRule type="colorScale" priority="195">
      <colorScale>
        <cfvo type="percent" val="0"/>
        <cfvo type="percentile" val="50"/>
        <cfvo type="percent" val="100"/>
        <color rgb="FFD0EBB3"/>
        <color rgb="FFFFF2B3"/>
        <color rgb="FFFCBABC"/>
      </colorScale>
    </cfRule>
  </conditionalFormatting>
  <conditionalFormatting sqref="E17:G17">
    <cfRule type="colorScale" priority="194">
      <colorScale>
        <cfvo type="percent" val="0"/>
        <cfvo type="percentile" val="50"/>
        <cfvo type="percent" val="100"/>
        <color rgb="FFD0EBB3"/>
        <color rgb="FFFFF2B3"/>
        <color rgb="FFFCBABC"/>
      </colorScale>
    </cfRule>
  </conditionalFormatting>
  <conditionalFormatting sqref="E18:G18">
    <cfRule type="colorScale" priority="193">
      <colorScale>
        <cfvo type="percent" val="0"/>
        <cfvo type="percentile" val="50"/>
        <cfvo type="percent" val="100"/>
        <color rgb="FFD0EBB3"/>
        <color rgb="FFFFF2B3"/>
        <color rgb="FFFCBABC"/>
      </colorScale>
    </cfRule>
  </conditionalFormatting>
  <conditionalFormatting sqref="E19:G19">
    <cfRule type="colorScale" priority="192">
      <colorScale>
        <cfvo type="percent" val="0"/>
        <cfvo type="percentile" val="50"/>
        <cfvo type="percent" val="100"/>
        <color rgb="FFD0EBB3"/>
        <color rgb="FFFFF2B3"/>
        <color rgb="FFFCBABC"/>
      </colorScale>
    </cfRule>
  </conditionalFormatting>
  <conditionalFormatting sqref="E20:G20">
    <cfRule type="colorScale" priority="191">
      <colorScale>
        <cfvo type="percent" val="0"/>
        <cfvo type="percentile" val="50"/>
        <cfvo type="percent" val="100"/>
        <color rgb="FFD0EBB3"/>
        <color rgb="FFFFF2B3"/>
        <color rgb="FFFCBABC"/>
      </colorScale>
    </cfRule>
  </conditionalFormatting>
  <conditionalFormatting sqref="E21:G21">
    <cfRule type="colorScale" priority="190">
      <colorScale>
        <cfvo type="percent" val="0"/>
        <cfvo type="percentile" val="50"/>
        <cfvo type="percent" val="100"/>
        <color rgb="FFD0EBB3"/>
        <color rgb="FFFFF2B3"/>
        <color rgb="FFFCBABC"/>
      </colorScale>
    </cfRule>
  </conditionalFormatting>
  <conditionalFormatting sqref="E22:G22">
    <cfRule type="colorScale" priority="189">
      <colorScale>
        <cfvo type="percent" val="0"/>
        <cfvo type="percentile" val="50"/>
        <cfvo type="percent" val="100"/>
        <color rgb="FFD0EBB3"/>
        <color rgb="FFFFF2B3"/>
        <color rgb="FFFCBABC"/>
      </colorScale>
    </cfRule>
  </conditionalFormatting>
  <conditionalFormatting sqref="E23:G23">
    <cfRule type="colorScale" priority="188">
      <colorScale>
        <cfvo type="percent" val="0"/>
        <cfvo type="percentile" val="50"/>
        <cfvo type="percent" val="100"/>
        <color rgb="FFD0EBB3"/>
        <color rgb="FFFFF2B3"/>
        <color rgb="FFFCBABC"/>
      </colorScale>
    </cfRule>
  </conditionalFormatting>
  <conditionalFormatting sqref="E24:G24">
    <cfRule type="colorScale" priority="187">
      <colorScale>
        <cfvo type="percent" val="0"/>
        <cfvo type="percentile" val="50"/>
        <cfvo type="percent" val="100"/>
        <color rgb="FFD0EBB3"/>
        <color rgb="FFFFF2B3"/>
        <color rgb="FFFCBABC"/>
      </colorScale>
    </cfRule>
  </conditionalFormatting>
  <conditionalFormatting sqref="E25:G25">
    <cfRule type="colorScale" priority="186">
      <colorScale>
        <cfvo type="percent" val="0"/>
        <cfvo type="percentile" val="50"/>
        <cfvo type="percent" val="100"/>
        <color rgb="FFD0EBB3"/>
        <color rgb="FFFFF2B3"/>
        <color rgb="FFFCBABC"/>
      </colorScale>
    </cfRule>
  </conditionalFormatting>
  <conditionalFormatting sqref="E26:G26">
    <cfRule type="colorScale" priority="185">
      <colorScale>
        <cfvo type="percent" val="0"/>
        <cfvo type="percentile" val="50"/>
        <cfvo type="percent" val="100"/>
        <color rgb="FFD0EBB3"/>
        <color rgb="FFFFF2B3"/>
        <color rgb="FFFCBABC"/>
      </colorScale>
    </cfRule>
  </conditionalFormatting>
  <conditionalFormatting sqref="E27:G27">
    <cfRule type="colorScale" priority="184">
      <colorScale>
        <cfvo type="percent" val="0"/>
        <cfvo type="percentile" val="50"/>
        <cfvo type="percent" val="100"/>
        <color rgb="FFD0EBB3"/>
        <color rgb="FFFFF2B3"/>
        <color rgb="FFFCBABC"/>
      </colorScale>
    </cfRule>
  </conditionalFormatting>
  <conditionalFormatting sqref="E28:G28">
    <cfRule type="colorScale" priority="183">
      <colorScale>
        <cfvo type="percent" val="0"/>
        <cfvo type="percentile" val="50"/>
        <cfvo type="percent" val="100"/>
        <color rgb="FFD0EBB3"/>
        <color rgb="FFFFF2B3"/>
        <color rgb="FFFCBABC"/>
      </colorScale>
    </cfRule>
  </conditionalFormatting>
  <conditionalFormatting sqref="E29:G29">
    <cfRule type="colorScale" priority="182">
      <colorScale>
        <cfvo type="percent" val="0"/>
        <cfvo type="percentile" val="50"/>
        <cfvo type="percent" val="100"/>
        <color rgb="FFD0EBB3"/>
        <color rgb="FFFFF2B3"/>
        <color rgb="FFFCBABC"/>
      </colorScale>
    </cfRule>
  </conditionalFormatting>
  <conditionalFormatting sqref="E30:G30">
    <cfRule type="colorScale" priority="181">
      <colorScale>
        <cfvo type="percent" val="0"/>
        <cfvo type="percentile" val="50"/>
        <cfvo type="percent" val="100"/>
        <color rgb="FFD0EBB3"/>
        <color rgb="FFFFF2B3"/>
        <color rgb="FFFCBABC"/>
      </colorScale>
    </cfRule>
  </conditionalFormatting>
  <conditionalFormatting sqref="E31:G31">
    <cfRule type="colorScale" priority="180">
      <colorScale>
        <cfvo type="percent" val="0"/>
        <cfvo type="percentile" val="50"/>
        <cfvo type="percent" val="100"/>
        <color rgb="FFD0EBB3"/>
        <color rgb="FFFFF2B3"/>
        <color rgb="FFFCBABC"/>
      </colorScale>
    </cfRule>
  </conditionalFormatting>
  <conditionalFormatting sqref="E32:G32">
    <cfRule type="colorScale" priority="179">
      <colorScale>
        <cfvo type="percent" val="0"/>
        <cfvo type="percentile" val="50"/>
        <cfvo type="percent" val="100"/>
        <color rgb="FFD0EBB3"/>
        <color rgb="FFFFF2B3"/>
        <color rgb="FFFCBABC"/>
      </colorScale>
    </cfRule>
  </conditionalFormatting>
  <conditionalFormatting sqref="E33:G33">
    <cfRule type="colorScale" priority="178">
      <colorScale>
        <cfvo type="percent" val="0"/>
        <cfvo type="percentile" val="50"/>
        <cfvo type="percent" val="100"/>
        <color rgb="FFD0EBB3"/>
        <color rgb="FFFFF2B3"/>
        <color rgb="FFFCBABC"/>
      </colorScale>
    </cfRule>
  </conditionalFormatting>
  <conditionalFormatting sqref="E41:G41">
    <cfRule type="colorScale" priority="177">
      <colorScale>
        <cfvo type="percent" val="0"/>
        <cfvo type="percentile" val="50"/>
        <cfvo type="percent" val="100"/>
        <color rgb="FFD0EBB3"/>
        <color rgb="FFFFF2B3"/>
        <color rgb="FFFCBABC"/>
      </colorScale>
    </cfRule>
  </conditionalFormatting>
  <conditionalFormatting sqref="E42:G42">
    <cfRule type="colorScale" priority="176">
      <colorScale>
        <cfvo type="percent" val="0"/>
        <cfvo type="percentile" val="50"/>
        <cfvo type="percent" val="100"/>
        <color rgb="FFD0EBB3"/>
        <color rgb="FFFFF2B3"/>
        <color rgb="FFFCBABC"/>
      </colorScale>
    </cfRule>
  </conditionalFormatting>
  <conditionalFormatting sqref="E43:G43">
    <cfRule type="colorScale" priority="175">
      <colorScale>
        <cfvo type="percent" val="0"/>
        <cfvo type="percentile" val="50"/>
        <cfvo type="percent" val="100"/>
        <color rgb="FFD0EBB3"/>
        <color rgb="FFFFF2B3"/>
        <color rgb="FFFCBABC"/>
      </colorScale>
    </cfRule>
  </conditionalFormatting>
  <conditionalFormatting sqref="E44:G44">
    <cfRule type="colorScale" priority="174">
      <colorScale>
        <cfvo type="percent" val="0"/>
        <cfvo type="percentile" val="50"/>
        <cfvo type="percent" val="100"/>
        <color rgb="FFD0EBB3"/>
        <color rgb="FFFFF2B3"/>
        <color rgb="FFFCBABC"/>
      </colorScale>
    </cfRule>
  </conditionalFormatting>
  <conditionalFormatting sqref="E45:G45">
    <cfRule type="colorScale" priority="173">
      <colorScale>
        <cfvo type="percent" val="0"/>
        <cfvo type="percentile" val="50"/>
        <cfvo type="percent" val="100"/>
        <color rgb="FFD0EBB3"/>
        <color rgb="FFFFF2B3"/>
        <color rgb="FFFCBABC"/>
      </colorScale>
    </cfRule>
  </conditionalFormatting>
  <conditionalFormatting sqref="E46:G46">
    <cfRule type="colorScale" priority="172">
      <colorScale>
        <cfvo type="percent" val="0"/>
        <cfvo type="percentile" val="50"/>
        <cfvo type="percent" val="100"/>
        <color rgb="FFD0EBB3"/>
        <color rgb="FFFFF2B3"/>
        <color rgb="FFFCBABC"/>
      </colorScale>
    </cfRule>
  </conditionalFormatting>
  <conditionalFormatting sqref="E47:G47">
    <cfRule type="colorScale" priority="171">
      <colorScale>
        <cfvo type="percent" val="0"/>
        <cfvo type="percentile" val="50"/>
        <cfvo type="percent" val="100"/>
        <color rgb="FFD0EBB3"/>
        <color rgb="FFFFF2B3"/>
        <color rgb="FFFCBABC"/>
      </colorScale>
    </cfRule>
  </conditionalFormatting>
  <conditionalFormatting sqref="E48:G48">
    <cfRule type="colorScale" priority="169">
      <colorScale>
        <cfvo type="percent" val="0"/>
        <cfvo type="percentile" val="50"/>
        <cfvo type="percent" val="100"/>
        <color rgb="FFD0EBB3"/>
        <color rgb="FFFFF2B3"/>
        <color rgb="FFFCBABC"/>
      </colorScale>
    </cfRule>
  </conditionalFormatting>
  <conditionalFormatting sqref="E49:G49">
    <cfRule type="colorScale" priority="168">
      <colorScale>
        <cfvo type="percent" val="0"/>
        <cfvo type="percentile" val="50"/>
        <cfvo type="percent" val="100"/>
        <color rgb="FFD0EBB3"/>
        <color rgb="FFFFF2B3"/>
        <color rgb="FFFCBABC"/>
      </colorScale>
    </cfRule>
  </conditionalFormatting>
  <conditionalFormatting sqref="E50:G50">
    <cfRule type="colorScale" priority="167">
      <colorScale>
        <cfvo type="percent" val="0"/>
        <cfvo type="percentile" val="50"/>
        <cfvo type="percent" val="100"/>
        <color rgb="FFD0EBB3"/>
        <color rgb="FFFFF2B3"/>
        <color rgb="FFFCBABC"/>
      </colorScale>
    </cfRule>
  </conditionalFormatting>
  <conditionalFormatting sqref="E58:G58">
    <cfRule type="colorScale" priority="137">
      <colorScale>
        <cfvo type="percent" val="0"/>
        <cfvo type="percentile" val="50"/>
        <cfvo type="percent" val="100"/>
        <color rgb="FFD0EBB3"/>
        <color rgb="FFFFF2B3"/>
        <color rgb="FFFCBABC"/>
      </colorScale>
    </cfRule>
  </conditionalFormatting>
  <conditionalFormatting sqref="E59:G59">
    <cfRule type="colorScale" priority="165">
      <colorScale>
        <cfvo type="percent" val="0"/>
        <cfvo type="percentile" val="50"/>
        <cfvo type="percent" val="100"/>
        <color rgb="FFD0EBB3"/>
        <color rgb="FFFFF2B3"/>
        <color rgb="FFFCBABC"/>
      </colorScale>
    </cfRule>
  </conditionalFormatting>
  <conditionalFormatting sqref="E60:G60">
    <cfRule type="colorScale" priority="163">
      <colorScale>
        <cfvo type="percent" val="0"/>
        <cfvo type="percentile" val="50"/>
        <cfvo type="percent" val="100"/>
        <color rgb="FFD0EBB3"/>
        <color rgb="FFFFF2B3"/>
        <color rgb="FFFCBABC"/>
      </colorScale>
    </cfRule>
  </conditionalFormatting>
  <conditionalFormatting sqref="E61:G61">
    <cfRule type="colorScale" priority="162">
      <colorScale>
        <cfvo type="percent" val="0"/>
        <cfvo type="percentile" val="50"/>
        <cfvo type="percent" val="100"/>
        <color rgb="FFD0EBB3"/>
        <color rgb="FFFFF2B3"/>
        <color rgb="FFFCBABC"/>
      </colorScale>
    </cfRule>
  </conditionalFormatting>
  <conditionalFormatting sqref="E62:G62">
    <cfRule type="colorScale" priority="161">
      <colorScale>
        <cfvo type="percent" val="0"/>
        <cfvo type="percentile" val="50"/>
        <cfvo type="percent" val="100"/>
        <color rgb="FFD0EBB3"/>
        <color rgb="FFFFF2B3"/>
        <color rgb="FFFCBABC"/>
      </colorScale>
    </cfRule>
  </conditionalFormatting>
  <conditionalFormatting sqref="E63:G63">
    <cfRule type="colorScale" priority="160">
      <colorScale>
        <cfvo type="percent" val="0"/>
        <cfvo type="percentile" val="50"/>
        <cfvo type="percent" val="100"/>
        <color rgb="FFD0EBB3"/>
        <color rgb="FFFFF2B3"/>
        <color rgb="FFFCBABC"/>
      </colorScale>
    </cfRule>
  </conditionalFormatting>
  <conditionalFormatting sqref="E64:G64">
    <cfRule type="colorScale" priority="159">
      <colorScale>
        <cfvo type="percent" val="0"/>
        <cfvo type="percentile" val="50"/>
        <cfvo type="percent" val="100"/>
        <color rgb="FFD0EBB3"/>
        <color rgb="FFFFF2B3"/>
        <color rgb="FFFCBABC"/>
      </colorScale>
    </cfRule>
  </conditionalFormatting>
  <conditionalFormatting sqref="E65:G65">
    <cfRule type="colorScale" priority="158">
      <colorScale>
        <cfvo type="percent" val="0"/>
        <cfvo type="percentile" val="50"/>
        <cfvo type="percent" val="100"/>
        <color rgb="FFD0EBB3"/>
        <color rgb="FFFFF2B3"/>
        <color rgb="FFFCBABC"/>
      </colorScale>
    </cfRule>
  </conditionalFormatting>
  <conditionalFormatting sqref="E66:G66">
    <cfRule type="colorScale" priority="157">
      <colorScale>
        <cfvo type="percent" val="0"/>
        <cfvo type="percentile" val="50"/>
        <cfvo type="percent" val="100"/>
        <color rgb="FFD0EBB3"/>
        <color rgb="FFFFF2B3"/>
        <color rgb="FFFCBABC"/>
      </colorScale>
    </cfRule>
  </conditionalFormatting>
  <conditionalFormatting sqref="E67:G67">
    <cfRule type="colorScale" priority="156">
      <colorScale>
        <cfvo type="percent" val="0"/>
        <cfvo type="percentile" val="50"/>
        <cfvo type="percent" val="100"/>
        <color rgb="FFD0EBB3"/>
        <color rgb="FFFFF2B3"/>
        <color rgb="FFFCBABC"/>
      </colorScale>
    </cfRule>
  </conditionalFormatting>
  <conditionalFormatting sqref="E68:G68">
    <cfRule type="colorScale" priority="155">
      <colorScale>
        <cfvo type="percent" val="0"/>
        <cfvo type="percentile" val="50"/>
        <cfvo type="percent" val="100"/>
        <color rgb="FFD0EBB3"/>
        <color rgb="FFFFF2B3"/>
        <color rgb="FFFCBABC"/>
      </colorScale>
    </cfRule>
  </conditionalFormatting>
  <conditionalFormatting sqref="E69:G69">
    <cfRule type="colorScale" priority="154">
      <colorScale>
        <cfvo type="percent" val="0"/>
        <cfvo type="percentile" val="50"/>
        <cfvo type="percent" val="100"/>
        <color rgb="FFD0EBB3"/>
        <color rgb="FFFFF2B3"/>
        <color rgb="FFFCBABC"/>
      </colorScale>
    </cfRule>
  </conditionalFormatting>
  <conditionalFormatting sqref="E70:G70">
    <cfRule type="colorScale" priority="153">
      <colorScale>
        <cfvo type="percent" val="0"/>
        <cfvo type="percentile" val="50"/>
        <cfvo type="percent" val="100"/>
        <color rgb="FFD0EBB3"/>
        <color rgb="FFFFF2B3"/>
        <color rgb="FFFCBABC"/>
      </colorScale>
    </cfRule>
  </conditionalFormatting>
  <conditionalFormatting sqref="E71:G72">
    <cfRule type="colorScale" priority="152">
      <colorScale>
        <cfvo type="percent" val="0"/>
        <cfvo type="percentile" val="50"/>
        <cfvo type="percent" val="100"/>
        <color rgb="FFD0EBB3"/>
        <color rgb="FFFFF2B3"/>
        <color rgb="FFFCBABC"/>
      </colorScale>
    </cfRule>
  </conditionalFormatting>
  <conditionalFormatting sqref="E73:G74">
    <cfRule type="colorScale" priority="151">
      <colorScale>
        <cfvo type="percent" val="0"/>
        <cfvo type="percentile" val="50"/>
        <cfvo type="percent" val="100"/>
        <color rgb="FFD0EBB3"/>
        <color rgb="FFFFF2B3"/>
        <color rgb="FFFCBABC"/>
      </colorScale>
    </cfRule>
  </conditionalFormatting>
  <conditionalFormatting sqref="E75:G75">
    <cfRule type="colorScale" priority="150">
      <colorScale>
        <cfvo type="percent" val="0"/>
        <cfvo type="percentile" val="50"/>
        <cfvo type="percent" val="100"/>
        <color rgb="FFD0EBB3"/>
        <color rgb="FFFFF2B3"/>
        <color rgb="FFFCBABC"/>
      </colorScale>
    </cfRule>
  </conditionalFormatting>
  <conditionalFormatting sqref="E76:G76">
    <cfRule type="colorScale" priority="149">
      <colorScale>
        <cfvo type="percent" val="0"/>
        <cfvo type="percentile" val="50"/>
        <cfvo type="percent" val="100"/>
        <color rgb="FFD0EBB3"/>
        <color rgb="FFFFF2B3"/>
        <color rgb="FFFCBABC"/>
      </colorScale>
    </cfRule>
  </conditionalFormatting>
  <conditionalFormatting sqref="E77:G77 E78">
    <cfRule type="colorScale" priority="148">
      <colorScale>
        <cfvo type="percent" val="0"/>
        <cfvo type="percentile" val="50"/>
        <cfvo type="percent" val="100"/>
        <color rgb="FFD0EBB3"/>
        <color rgb="FFFFF2B3"/>
        <color rgb="FFFCBABC"/>
      </colorScale>
    </cfRule>
  </conditionalFormatting>
  <conditionalFormatting sqref="E79:G79">
    <cfRule type="colorScale" priority="147">
      <colorScale>
        <cfvo type="percent" val="0"/>
        <cfvo type="percentile" val="50"/>
        <cfvo type="percent" val="100"/>
        <color rgb="FFD0EBB3"/>
        <color rgb="FFFFF2B3"/>
        <color rgb="FFFCBABC"/>
      </colorScale>
    </cfRule>
  </conditionalFormatting>
  <conditionalFormatting sqref="E80:G80">
    <cfRule type="colorScale" priority="25">
      <colorScale>
        <cfvo type="percent" val="0"/>
        <cfvo type="percentile" val="50"/>
        <cfvo type="percent" val="100"/>
        <color rgb="FFD0EBB3"/>
        <color rgb="FFFFF2B3"/>
        <color rgb="FFFCBABC"/>
      </colorScale>
    </cfRule>
  </conditionalFormatting>
  <conditionalFormatting sqref="E81:G81">
    <cfRule type="colorScale" priority="145">
      <colorScale>
        <cfvo type="percent" val="0"/>
        <cfvo type="percentile" val="50"/>
        <cfvo type="percent" val="100"/>
        <color rgb="FFD0EBB3"/>
        <color rgb="FFFFF2B3"/>
        <color rgb="FFFCBABC"/>
      </colorScale>
    </cfRule>
  </conditionalFormatting>
  <conditionalFormatting sqref="E82:G82">
    <cfRule type="colorScale" priority="144">
      <colorScale>
        <cfvo type="percent" val="0"/>
        <cfvo type="percentile" val="50"/>
        <cfvo type="percent" val="100"/>
        <color rgb="FFD0EBB3"/>
        <color rgb="FFFFF2B3"/>
        <color rgb="FFFCBABC"/>
      </colorScale>
    </cfRule>
  </conditionalFormatting>
  <conditionalFormatting sqref="E83:G83">
    <cfRule type="colorScale" priority="143">
      <colorScale>
        <cfvo type="percent" val="0"/>
        <cfvo type="percentile" val="50"/>
        <cfvo type="percent" val="100"/>
        <color rgb="FFD0EBB3"/>
        <color rgb="FFFFF2B3"/>
        <color rgb="FFFCBABC"/>
      </colorScale>
    </cfRule>
  </conditionalFormatting>
  <conditionalFormatting sqref="E84:G84 E85">
    <cfRule type="colorScale" priority="142">
      <colorScale>
        <cfvo type="percent" val="0"/>
        <cfvo type="percentile" val="50"/>
        <cfvo type="percent" val="100"/>
        <color rgb="FFD0EBB3"/>
        <color rgb="FFFFF2B3"/>
        <color rgb="FFFCBABC"/>
      </colorScale>
    </cfRule>
  </conditionalFormatting>
  <conditionalFormatting sqref="E86:G86">
    <cfRule type="colorScale" priority="141">
      <colorScale>
        <cfvo type="percent" val="0"/>
        <cfvo type="percentile" val="50"/>
        <cfvo type="percent" val="100"/>
        <color rgb="FFD0EBB3"/>
        <color rgb="FFFFF2B3"/>
        <color rgb="FFFCBABC"/>
      </colorScale>
    </cfRule>
  </conditionalFormatting>
  <conditionalFormatting sqref="E87:G87">
    <cfRule type="colorScale" priority="140">
      <colorScale>
        <cfvo type="percent" val="0"/>
        <cfvo type="percentile" val="50"/>
        <cfvo type="percent" val="100"/>
        <color rgb="FFD0EBB3"/>
        <color rgb="FFFFF2B3"/>
        <color rgb="FFFCBABC"/>
      </colorScale>
    </cfRule>
  </conditionalFormatting>
  <conditionalFormatting sqref="E94:G94">
    <cfRule type="colorScale" priority="134">
      <colorScale>
        <cfvo type="percent" val="0"/>
        <cfvo type="percentile" val="50"/>
        <cfvo type="percent" val="100"/>
        <color rgb="FFD0EBB3"/>
        <color rgb="FFFFF2B3"/>
        <color rgb="FFFCBABC"/>
      </colorScale>
    </cfRule>
  </conditionalFormatting>
  <conditionalFormatting sqref="E95:G95">
    <cfRule type="colorScale" priority="133">
      <colorScale>
        <cfvo type="percent" val="0"/>
        <cfvo type="percentile" val="50"/>
        <cfvo type="percent" val="100"/>
        <color rgb="FFD0EBB3"/>
        <color rgb="FFFFF2B3"/>
        <color rgb="FFFCBABC"/>
      </colorScale>
    </cfRule>
  </conditionalFormatting>
  <conditionalFormatting sqref="E96:G96">
    <cfRule type="colorScale" priority="132">
      <colorScale>
        <cfvo type="percent" val="0"/>
        <cfvo type="percentile" val="50"/>
        <cfvo type="percent" val="100"/>
        <color rgb="FFD0EBB3"/>
        <color rgb="FFFFF2B3"/>
        <color rgb="FFFCBABC"/>
      </colorScale>
    </cfRule>
  </conditionalFormatting>
  <conditionalFormatting sqref="E97:G97">
    <cfRule type="colorScale" priority="131">
      <colorScale>
        <cfvo type="percent" val="0"/>
        <cfvo type="percentile" val="50"/>
        <cfvo type="percent" val="100"/>
        <color rgb="FFD0EBB3"/>
        <color rgb="FFFFF2B3"/>
        <color rgb="FFFCBABC"/>
      </colorScale>
    </cfRule>
  </conditionalFormatting>
  <conditionalFormatting sqref="E98:G98">
    <cfRule type="colorScale" priority="130">
      <colorScale>
        <cfvo type="percent" val="0"/>
        <cfvo type="percentile" val="50"/>
        <cfvo type="percent" val="100"/>
        <color rgb="FFD0EBB3"/>
        <color rgb="FFFFF2B3"/>
        <color rgb="FFFCBABC"/>
      </colorScale>
    </cfRule>
  </conditionalFormatting>
  <conditionalFormatting sqref="E99:G99">
    <cfRule type="colorScale" priority="129">
      <colorScale>
        <cfvo type="percent" val="0"/>
        <cfvo type="percentile" val="50"/>
        <cfvo type="percent" val="100"/>
        <color rgb="FFD0EBB3"/>
        <color rgb="FFFFF2B3"/>
        <color rgb="FFFCBABC"/>
      </colorScale>
    </cfRule>
  </conditionalFormatting>
  <conditionalFormatting sqref="E100:G100">
    <cfRule type="colorScale" priority="128">
      <colorScale>
        <cfvo type="percent" val="0"/>
        <cfvo type="percentile" val="50"/>
        <cfvo type="percent" val="100"/>
        <color rgb="FFD0EBB3"/>
        <color rgb="FFFFF2B3"/>
        <color rgb="FFFCBABC"/>
      </colorScale>
    </cfRule>
  </conditionalFormatting>
  <conditionalFormatting sqref="E101:G101">
    <cfRule type="colorScale" priority="127">
      <colorScale>
        <cfvo type="percent" val="0"/>
        <cfvo type="percentile" val="50"/>
        <cfvo type="percent" val="100"/>
        <color rgb="FFD0EBB3"/>
        <color rgb="FFFFF2B3"/>
        <color rgb="FFFCBABC"/>
      </colorScale>
    </cfRule>
  </conditionalFormatting>
  <conditionalFormatting sqref="E102:G102">
    <cfRule type="colorScale" priority="126">
      <colorScale>
        <cfvo type="percent" val="0"/>
        <cfvo type="percentile" val="50"/>
        <cfvo type="percent" val="100"/>
        <color rgb="FFD0EBB3"/>
        <color rgb="FFFFF2B3"/>
        <color rgb="FFFCBABC"/>
      </colorScale>
    </cfRule>
  </conditionalFormatting>
  <conditionalFormatting sqref="E103:G103">
    <cfRule type="colorScale" priority="125">
      <colorScale>
        <cfvo type="percent" val="0"/>
        <cfvo type="percentile" val="50"/>
        <cfvo type="percent" val="100"/>
        <color rgb="FFD0EBB3"/>
        <color rgb="FFFFF2B3"/>
        <color rgb="FFFCBABC"/>
      </colorScale>
    </cfRule>
  </conditionalFormatting>
  <conditionalFormatting sqref="E104:G104">
    <cfRule type="colorScale" priority="124">
      <colorScale>
        <cfvo type="percent" val="0"/>
        <cfvo type="percentile" val="50"/>
        <cfvo type="percent" val="100"/>
        <color rgb="FFD0EBB3"/>
        <color rgb="FFFFF2B3"/>
        <color rgb="FFFCBABC"/>
      </colorScale>
    </cfRule>
  </conditionalFormatting>
  <conditionalFormatting sqref="E105:G105">
    <cfRule type="colorScale" priority="123">
      <colorScale>
        <cfvo type="percent" val="0"/>
        <cfvo type="percentile" val="50"/>
        <cfvo type="percent" val="100"/>
        <color rgb="FFD0EBB3"/>
        <color rgb="FFFFF2B3"/>
        <color rgb="FFFCBABC"/>
      </colorScale>
    </cfRule>
  </conditionalFormatting>
  <conditionalFormatting sqref="E106:G106">
    <cfRule type="colorScale" priority="122">
      <colorScale>
        <cfvo type="percent" val="0"/>
        <cfvo type="percentile" val="50"/>
        <cfvo type="percent" val="100"/>
        <color rgb="FFD0EBB3"/>
        <color rgb="FFFFF2B3"/>
        <color rgb="FFFCBABC"/>
      </colorScale>
    </cfRule>
  </conditionalFormatting>
  <conditionalFormatting sqref="E107:G107">
    <cfRule type="colorScale" priority="121">
      <colorScale>
        <cfvo type="percent" val="0"/>
        <cfvo type="percentile" val="50"/>
        <cfvo type="percent" val="100"/>
        <color rgb="FFD0EBB3"/>
        <color rgb="FFFFF2B3"/>
        <color rgb="FFFCBABC"/>
      </colorScale>
    </cfRule>
  </conditionalFormatting>
  <conditionalFormatting sqref="E108:G108">
    <cfRule type="colorScale" priority="120">
      <colorScale>
        <cfvo type="percent" val="0"/>
        <cfvo type="percentile" val="50"/>
        <cfvo type="percent" val="100"/>
        <color rgb="FFD0EBB3"/>
        <color rgb="FFFFF2B3"/>
        <color rgb="FFFCBABC"/>
      </colorScale>
    </cfRule>
  </conditionalFormatting>
  <conditionalFormatting sqref="E109:G109">
    <cfRule type="colorScale" priority="119">
      <colorScale>
        <cfvo type="percent" val="0"/>
        <cfvo type="percentile" val="50"/>
        <cfvo type="percent" val="100"/>
        <color rgb="FFD0EBB3"/>
        <color rgb="FFFFF2B3"/>
        <color rgb="FFFCBABC"/>
      </colorScale>
    </cfRule>
  </conditionalFormatting>
  <conditionalFormatting sqref="E110:G110">
    <cfRule type="colorScale" priority="118">
      <colorScale>
        <cfvo type="percent" val="0"/>
        <cfvo type="percentile" val="50"/>
        <cfvo type="percent" val="100"/>
        <color rgb="FFD0EBB3"/>
        <color rgb="FFFFF2B3"/>
        <color rgb="FFFCBABC"/>
      </colorScale>
    </cfRule>
  </conditionalFormatting>
  <conditionalFormatting sqref="E111:G111">
    <cfRule type="colorScale" priority="117">
      <colorScale>
        <cfvo type="percent" val="0"/>
        <cfvo type="percentile" val="50"/>
        <cfvo type="percent" val="100"/>
        <color rgb="FFD0EBB3"/>
        <color rgb="FFFFF2B3"/>
        <color rgb="FFFCBABC"/>
      </colorScale>
    </cfRule>
  </conditionalFormatting>
  <conditionalFormatting sqref="E112:G112">
    <cfRule type="colorScale" priority="116">
      <colorScale>
        <cfvo type="percent" val="0"/>
        <cfvo type="percentile" val="50"/>
        <cfvo type="percent" val="100"/>
        <color rgb="FFD0EBB3"/>
        <color rgb="FFFFF2B3"/>
        <color rgb="FFFCBABC"/>
      </colorScale>
    </cfRule>
  </conditionalFormatting>
  <conditionalFormatting sqref="E113:G113">
    <cfRule type="colorScale" priority="115">
      <colorScale>
        <cfvo type="percent" val="0"/>
        <cfvo type="percentile" val="50"/>
        <cfvo type="percent" val="100"/>
        <color rgb="FFD0EBB3"/>
        <color rgb="FFFFF2B3"/>
        <color rgb="FFFCBABC"/>
      </colorScale>
    </cfRule>
  </conditionalFormatting>
  <conditionalFormatting sqref="E114:G114">
    <cfRule type="colorScale" priority="114">
      <colorScale>
        <cfvo type="percent" val="0"/>
        <cfvo type="percentile" val="50"/>
        <cfvo type="percent" val="100"/>
        <color rgb="FFD0EBB3"/>
        <color rgb="FFFFF2B3"/>
        <color rgb="FFFCBABC"/>
      </colorScale>
    </cfRule>
  </conditionalFormatting>
  <conditionalFormatting sqref="E115:G115">
    <cfRule type="colorScale" priority="113">
      <colorScale>
        <cfvo type="percent" val="0"/>
        <cfvo type="percentile" val="50"/>
        <cfvo type="percent" val="100"/>
        <color rgb="FFD0EBB3"/>
        <color rgb="FFFFF2B3"/>
        <color rgb="FFFCBABC"/>
      </colorScale>
    </cfRule>
  </conditionalFormatting>
  <conditionalFormatting sqref="E116:G116">
    <cfRule type="colorScale" priority="112">
      <colorScale>
        <cfvo type="percent" val="0"/>
        <cfvo type="percentile" val="50"/>
        <cfvo type="percent" val="100"/>
        <color rgb="FFD0EBB3"/>
        <color rgb="FFFFF2B3"/>
        <color rgb="FFFCBABC"/>
      </colorScale>
    </cfRule>
  </conditionalFormatting>
  <conditionalFormatting sqref="E117:G117">
    <cfRule type="colorScale" priority="111">
      <colorScale>
        <cfvo type="percent" val="0"/>
        <cfvo type="percentile" val="50"/>
        <cfvo type="percent" val="100"/>
        <color rgb="FFD0EBB3"/>
        <color rgb="FFFFF2B3"/>
        <color rgb="FFFCBABC"/>
      </colorScale>
    </cfRule>
  </conditionalFormatting>
  <conditionalFormatting sqref="E118:G118">
    <cfRule type="colorScale" priority="110">
      <colorScale>
        <cfvo type="percent" val="0"/>
        <cfvo type="percentile" val="50"/>
        <cfvo type="percent" val="100"/>
        <color rgb="FFD0EBB3"/>
        <color rgb="FFFFF2B3"/>
        <color rgb="FFFCBABC"/>
      </colorScale>
    </cfRule>
  </conditionalFormatting>
  <conditionalFormatting sqref="E119:G119">
    <cfRule type="colorScale" priority="109">
      <colorScale>
        <cfvo type="percent" val="0"/>
        <cfvo type="percentile" val="50"/>
        <cfvo type="percent" val="100"/>
        <color rgb="FFD0EBB3"/>
        <color rgb="FFFFF2B3"/>
        <color rgb="FFFCBABC"/>
      </colorScale>
    </cfRule>
  </conditionalFormatting>
  <conditionalFormatting sqref="E120:G120">
    <cfRule type="colorScale" priority="108">
      <colorScale>
        <cfvo type="percent" val="0"/>
        <cfvo type="percentile" val="50"/>
        <cfvo type="percent" val="100"/>
        <color rgb="FFD0EBB3"/>
        <color rgb="FFFFF2B3"/>
        <color rgb="FFFCBABC"/>
      </colorScale>
    </cfRule>
  </conditionalFormatting>
  <conditionalFormatting sqref="E121:G121">
    <cfRule type="colorScale" priority="107">
      <colorScale>
        <cfvo type="percent" val="0"/>
        <cfvo type="percentile" val="50"/>
        <cfvo type="percent" val="100"/>
        <color rgb="FFD0EBB3"/>
        <color rgb="FFFFF2B3"/>
        <color rgb="FFFCBABC"/>
      </colorScale>
    </cfRule>
  </conditionalFormatting>
  <conditionalFormatting sqref="E122:G122">
    <cfRule type="colorScale" priority="106">
      <colorScale>
        <cfvo type="percent" val="0"/>
        <cfvo type="percentile" val="50"/>
        <cfvo type="percent" val="100"/>
        <color rgb="FFD0EBB3"/>
        <color rgb="FFFFF2B3"/>
        <color rgb="FFFCBABC"/>
      </colorScale>
    </cfRule>
  </conditionalFormatting>
  <conditionalFormatting sqref="E123:G123">
    <cfRule type="colorScale" priority="105">
      <colorScale>
        <cfvo type="percent" val="0"/>
        <cfvo type="percentile" val="50"/>
        <cfvo type="percent" val="100"/>
        <color rgb="FFD0EBB3"/>
        <color rgb="FFFFF2B3"/>
        <color rgb="FFFCBABC"/>
      </colorScale>
    </cfRule>
  </conditionalFormatting>
  <conditionalFormatting sqref="E124:G124">
    <cfRule type="colorScale" priority="104">
      <colorScale>
        <cfvo type="percent" val="0"/>
        <cfvo type="percentile" val="50"/>
        <cfvo type="percent" val="100"/>
        <color rgb="FFD0EBB3"/>
        <color rgb="FFFFF2B3"/>
        <color rgb="FFFCBABC"/>
      </colorScale>
    </cfRule>
  </conditionalFormatting>
  <conditionalFormatting sqref="E125:G125">
    <cfRule type="colorScale" priority="103">
      <colorScale>
        <cfvo type="percent" val="0"/>
        <cfvo type="percentile" val="50"/>
        <cfvo type="percent" val="100"/>
        <color rgb="FFD0EBB3"/>
        <color rgb="FFFFF2B3"/>
        <color rgb="FFFCBABC"/>
      </colorScale>
    </cfRule>
  </conditionalFormatting>
  <conditionalFormatting sqref="E126:G126">
    <cfRule type="colorScale" priority="102">
      <colorScale>
        <cfvo type="percent" val="0"/>
        <cfvo type="percentile" val="50"/>
        <cfvo type="percent" val="100"/>
        <color rgb="FFD0EBB3"/>
        <color rgb="FFFFF2B3"/>
        <color rgb="FFFCBABC"/>
      </colorScale>
    </cfRule>
  </conditionalFormatting>
  <conditionalFormatting sqref="E127:G127">
    <cfRule type="colorScale" priority="101">
      <colorScale>
        <cfvo type="percent" val="0"/>
        <cfvo type="percentile" val="50"/>
        <cfvo type="percent" val="100"/>
        <color rgb="FFD0EBB3"/>
        <color rgb="FFFFF2B3"/>
        <color rgb="FFFCBABC"/>
      </colorScale>
    </cfRule>
  </conditionalFormatting>
  <conditionalFormatting sqref="E128:G128">
    <cfRule type="colorScale" priority="100">
      <colorScale>
        <cfvo type="percent" val="0"/>
        <cfvo type="percentile" val="50"/>
        <cfvo type="percent" val="100"/>
        <color rgb="FFD0EBB3"/>
        <color rgb="FFFFF2B3"/>
        <color rgb="FFFCBABC"/>
      </colorScale>
    </cfRule>
  </conditionalFormatting>
  <conditionalFormatting sqref="E129:G129">
    <cfRule type="colorScale" priority="99">
      <colorScale>
        <cfvo type="percent" val="0"/>
        <cfvo type="percentile" val="50"/>
        <cfvo type="percent" val="100"/>
        <color rgb="FFD0EBB3"/>
        <color rgb="FFFFF2B3"/>
        <color rgb="FFFCBABC"/>
      </colorScale>
    </cfRule>
  </conditionalFormatting>
  <conditionalFormatting sqref="E130:G130">
    <cfRule type="colorScale" priority="98">
      <colorScale>
        <cfvo type="percent" val="0"/>
        <cfvo type="percentile" val="50"/>
        <cfvo type="percent" val="100"/>
        <color rgb="FFD0EBB3"/>
        <color rgb="FFFFF2B3"/>
        <color rgb="FFFCBABC"/>
      </colorScale>
    </cfRule>
  </conditionalFormatting>
  <conditionalFormatting sqref="E137:G137">
    <cfRule type="colorScale" priority="77">
      <colorScale>
        <cfvo type="percent" val="0"/>
        <cfvo type="percentile" val="50"/>
        <cfvo type="percent" val="100"/>
        <color rgb="FFD0EBB3"/>
        <color rgb="FFFFF2B3"/>
        <color rgb="FFFCBABC"/>
      </colorScale>
    </cfRule>
  </conditionalFormatting>
  <conditionalFormatting sqref="E138:G138">
    <cfRule type="colorScale" priority="76">
      <colorScale>
        <cfvo type="percent" val="0"/>
        <cfvo type="percentile" val="50"/>
        <cfvo type="percent" val="100"/>
        <color rgb="FFD0EBB3"/>
        <color rgb="FFFFF2B3"/>
        <color rgb="FFFCBABC"/>
      </colorScale>
    </cfRule>
  </conditionalFormatting>
  <conditionalFormatting sqref="E139:G139">
    <cfRule type="colorScale" priority="75">
      <colorScale>
        <cfvo type="percent" val="0"/>
        <cfvo type="percentile" val="50"/>
        <cfvo type="percent" val="100"/>
        <color rgb="FFD0EBB3"/>
        <color rgb="FFFFF2B3"/>
        <color rgb="FFFCBABC"/>
      </colorScale>
    </cfRule>
  </conditionalFormatting>
  <conditionalFormatting sqref="E140:G140">
    <cfRule type="colorScale" priority="74">
      <colorScale>
        <cfvo type="percent" val="0"/>
        <cfvo type="percentile" val="50"/>
        <cfvo type="percent" val="100"/>
        <color rgb="FFD0EBB3"/>
        <color rgb="FFFFF2B3"/>
        <color rgb="FFFCBABC"/>
      </colorScale>
    </cfRule>
  </conditionalFormatting>
  <conditionalFormatting sqref="E141:G141">
    <cfRule type="colorScale" priority="73">
      <colorScale>
        <cfvo type="percent" val="0"/>
        <cfvo type="percentile" val="50"/>
        <cfvo type="percent" val="100"/>
        <color rgb="FFD0EBB3"/>
        <color rgb="FFFFF2B3"/>
        <color rgb="FFFCBABC"/>
      </colorScale>
    </cfRule>
  </conditionalFormatting>
  <conditionalFormatting sqref="E142:G142">
    <cfRule type="colorScale" priority="72">
      <colorScale>
        <cfvo type="percent" val="0"/>
        <cfvo type="percentile" val="50"/>
        <cfvo type="percent" val="100"/>
        <color rgb="FFD0EBB3"/>
        <color rgb="FFFFF2B3"/>
        <color rgb="FFFCBABC"/>
      </colorScale>
    </cfRule>
  </conditionalFormatting>
  <conditionalFormatting sqref="E143:G143">
    <cfRule type="colorScale" priority="71">
      <colorScale>
        <cfvo type="percent" val="0"/>
        <cfvo type="percentile" val="50"/>
        <cfvo type="percent" val="100"/>
        <color rgb="FFD0EBB3"/>
        <color rgb="FFFFF2B3"/>
        <color rgb="FFFCBABC"/>
      </colorScale>
    </cfRule>
  </conditionalFormatting>
  <conditionalFormatting sqref="E144:G144">
    <cfRule type="colorScale" priority="70">
      <colorScale>
        <cfvo type="percent" val="0"/>
        <cfvo type="percentile" val="50"/>
        <cfvo type="percent" val="100"/>
        <color rgb="FFD0EBB3"/>
        <color rgb="FFFFF2B3"/>
        <color rgb="FFFCBABC"/>
      </colorScale>
    </cfRule>
  </conditionalFormatting>
  <conditionalFormatting sqref="E145:G145">
    <cfRule type="colorScale" priority="69">
      <colorScale>
        <cfvo type="percent" val="0"/>
        <cfvo type="percentile" val="50"/>
        <cfvo type="percent" val="100"/>
        <color rgb="FFD0EBB3"/>
        <color rgb="FFFFF2B3"/>
        <color rgb="FFFCBABC"/>
      </colorScale>
    </cfRule>
  </conditionalFormatting>
  <conditionalFormatting sqref="E146:G146">
    <cfRule type="colorScale" priority="68">
      <colorScale>
        <cfvo type="percent" val="0"/>
        <cfvo type="percentile" val="50"/>
        <cfvo type="percent" val="100"/>
        <color rgb="FFD0EBB3"/>
        <color rgb="FFFFF2B3"/>
        <color rgb="FFFCBABC"/>
      </colorScale>
    </cfRule>
  </conditionalFormatting>
  <conditionalFormatting sqref="E153:G153">
    <cfRule type="colorScale" priority="256">
      <colorScale>
        <cfvo type="percent" val="0"/>
        <cfvo type="percentile" val="50"/>
        <cfvo type="percent" val="100"/>
        <color rgb="FFD0EBB3"/>
        <color rgb="FFFFF2B3"/>
        <color rgb="FFFCBABC"/>
      </colorScale>
    </cfRule>
  </conditionalFormatting>
  <conditionalFormatting sqref="E154:G154">
    <cfRule type="colorScale" priority="240">
      <colorScale>
        <cfvo type="percent" val="0"/>
        <cfvo type="percentile" val="50"/>
        <cfvo type="percent" val="100"/>
        <color rgb="FFD0EBB3"/>
        <color rgb="FFFFF2B3"/>
        <color rgb="FFFCBABC"/>
      </colorScale>
    </cfRule>
  </conditionalFormatting>
  <conditionalFormatting sqref="E155:G155">
    <cfRule type="colorScale" priority="239">
      <colorScale>
        <cfvo type="percent" val="0"/>
        <cfvo type="percentile" val="50"/>
        <cfvo type="percent" val="100"/>
        <color rgb="FFD0EBB3"/>
        <color rgb="FFFFF2B3"/>
        <color rgb="FFFCBABC"/>
      </colorScale>
    </cfRule>
  </conditionalFormatting>
  <conditionalFormatting sqref="E156:G156">
    <cfRule type="colorScale" priority="238">
      <colorScale>
        <cfvo type="percent" val="0"/>
        <cfvo type="percentile" val="50"/>
        <cfvo type="percent" val="100"/>
        <color rgb="FFD0EBB3"/>
        <color rgb="FFFFF2B3"/>
        <color rgb="FFFCBABC"/>
      </colorScale>
    </cfRule>
  </conditionalFormatting>
  <conditionalFormatting sqref="E157:G157">
    <cfRule type="colorScale" priority="237">
      <colorScale>
        <cfvo type="percent" val="0"/>
        <cfvo type="percentile" val="50"/>
        <cfvo type="percent" val="100"/>
        <color rgb="FFD0EBB3"/>
        <color rgb="FFFFF2B3"/>
        <color rgb="FFFCBABC"/>
      </colorScale>
    </cfRule>
  </conditionalFormatting>
  <conditionalFormatting sqref="E158:G158">
    <cfRule type="colorScale" priority="251">
      <colorScale>
        <cfvo type="percent" val="0"/>
        <cfvo type="percentile" val="50"/>
        <cfvo type="percent" val="100"/>
        <color rgb="FFD0EBB3"/>
        <color rgb="FFFFF2B3"/>
        <color rgb="FFFCBABC"/>
      </colorScale>
    </cfRule>
  </conditionalFormatting>
  <conditionalFormatting sqref="E159:G159">
    <cfRule type="colorScale" priority="250">
      <colorScale>
        <cfvo type="percent" val="0"/>
        <cfvo type="percentile" val="50"/>
        <cfvo type="percent" val="100"/>
        <color rgb="FFD0EBB3"/>
        <color rgb="FFFFF2B3"/>
        <color rgb="FFFCBABC"/>
      </colorScale>
    </cfRule>
  </conditionalFormatting>
  <conditionalFormatting sqref="E160:G160">
    <cfRule type="colorScale" priority="249">
      <colorScale>
        <cfvo type="percent" val="0"/>
        <cfvo type="percentile" val="50"/>
        <cfvo type="percent" val="100"/>
        <color rgb="FFD0EBB3"/>
        <color rgb="FFFFF2B3"/>
        <color rgb="FFFCBABC"/>
      </colorScale>
    </cfRule>
  </conditionalFormatting>
  <conditionalFormatting sqref="E161:G161">
    <cfRule type="colorScale" priority="248">
      <colorScale>
        <cfvo type="percent" val="0"/>
        <cfvo type="percentile" val="50"/>
        <cfvo type="percent" val="100"/>
        <color rgb="FFD0EBB3"/>
        <color rgb="FFFFF2B3"/>
        <color rgb="FFFCBABC"/>
      </colorScale>
    </cfRule>
  </conditionalFormatting>
  <conditionalFormatting sqref="E162:G162">
    <cfRule type="colorScale" priority="247">
      <colorScale>
        <cfvo type="percent" val="0"/>
        <cfvo type="percentile" val="50"/>
        <cfvo type="percent" val="100"/>
        <color rgb="FFD0EBB3"/>
        <color rgb="FFFFF2B3"/>
        <color rgb="FFFCBABC"/>
      </colorScale>
    </cfRule>
  </conditionalFormatting>
  <conditionalFormatting sqref="E163:G163">
    <cfRule type="colorScale" priority="246">
      <colorScale>
        <cfvo type="percent" val="0"/>
        <cfvo type="percentile" val="50"/>
        <cfvo type="percent" val="100"/>
        <color rgb="FFD0EBB3"/>
        <color rgb="FFFFF2B3"/>
        <color rgb="FFFCBABC"/>
      </colorScale>
    </cfRule>
  </conditionalFormatting>
  <conditionalFormatting sqref="E164:G164">
    <cfRule type="colorScale" priority="245">
      <colorScale>
        <cfvo type="percent" val="0"/>
        <cfvo type="percentile" val="50"/>
        <cfvo type="percent" val="100"/>
        <color rgb="FFD0EBB3"/>
        <color rgb="FFFFF2B3"/>
        <color rgb="FFFCBABC"/>
      </colorScale>
    </cfRule>
  </conditionalFormatting>
  <conditionalFormatting sqref="E171:G171">
    <cfRule type="colorScale" priority="67">
      <colorScale>
        <cfvo type="percent" val="0"/>
        <cfvo type="percentile" val="50"/>
        <cfvo type="percent" val="100"/>
        <color rgb="FFD0EBB3"/>
        <color rgb="FFFFF2B3"/>
        <color rgb="FFFCBABC"/>
      </colorScale>
    </cfRule>
  </conditionalFormatting>
  <conditionalFormatting sqref="E172:G172">
    <cfRule type="colorScale" priority="66">
      <colorScale>
        <cfvo type="percent" val="0"/>
        <cfvo type="percentile" val="50"/>
        <cfvo type="percent" val="100"/>
        <color rgb="FFD0EBB3"/>
        <color rgb="FFFFF2B3"/>
        <color rgb="FFFCBABC"/>
      </colorScale>
    </cfRule>
  </conditionalFormatting>
  <conditionalFormatting sqref="E173:G173">
    <cfRule type="colorScale" priority="65">
      <colorScale>
        <cfvo type="percent" val="0"/>
        <cfvo type="percentile" val="50"/>
        <cfvo type="percent" val="100"/>
        <color rgb="FFD0EBB3"/>
        <color rgb="FFFFF2B3"/>
        <color rgb="FFFCBABC"/>
      </colorScale>
    </cfRule>
  </conditionalFormatting>
  <conditionalFormatting sqref="E174:G174">
    <cfRule type="colorScale" priority="64">
      <colorScale>
        <cfvo type="percent" val="0"/>
        <cfvo type="percentile" val="50"/>
        <cfvo type="percent" val="100"/>
        <color rgb="FFD0EBB3"/>
        <color rgb="FFFFF2B3"/>
        <color rgb="FFFCBABC"/>
      </colorScale>
    </cfRule>
  </conditionalFormatting>
  <conditionalFormatting sqref="E175:G175">
    <cfRule type="colorScale" priority="63">
      <colorScale>
        <cfvo type="percent" val="0"/>
        <cfvo type="percentile" val="50"/>
        <cfvo type="percent" val="100"/>
        <color rgb="FFD0EBB3"/>
        <color rgb="FFFFF2B3"/>
        <color rgb="FFFCBABC"/>
      </colorScale>
    </cfRule>
  </conditionalFormatting>
  <conditionalFormatting sqref="E176:G176">
    <cfRule type="colorScale" priority="62">
      <colorScale>
        <cfvo type="percent" val="0"/>
        <cfvo type="percentile" val="50"/>
        <cfvo type="percent" val="100"/>
        <color rgb="FFD0EBB3"/>
        <color rgb="FFFFF2B3"/>
        <color rgb="FFFCBABC"/>
      </colorScale>
    </cfRule>
  </conditionalFormatting>
  <conditionalFormatting sqref="E177:G177">
    <cfRule type="colorScale" priority="61">
      <colorScale>
        <cfvo type="percent" val="0"/>
        <cfvo type="percentile" val="50"/>
        <cfvo type="percent" val="100"/>
        <color rgb="FFD0EBB3"/>
        <color rgb="FFFFF2B3"/>
        <color rgb="FFFCBABC"/>
      </colorScale>
    </cfRule>
  </conditionalFormatting>
  <conditionalFormatting sqref="E178:G178">
    <cfRule type="colorScale" priority="60">
      <colorScale>
        <cfvo type="percent" val="0"/>
        <cfvo type="percentile" val="50"/>
        <cfvo type="percent" val="100"/>
        <color rgb="FFD0EBB3"/>
        <color rgb="FFFFF2B3"/>
        <color rgb="FFFCBABC"/>
      </colorScale>
    </cfRule>
  </conditionalFormatting>
  <conditionalFormatting sqref="E179:G179">
    <cfRule type="colorScale" priority="59">
      <colorScale>
        <cfvo type="percent" val="0"/>
        <cfvo type="percentile" val="50"/>
        <cfvo type="percent" val="100"/>
        <color rgb="FFD0EBB3"/>
        <color rgb="FFFFF2B3"/>
        <color rgb="FFFCBABC"/>
      </colorScale>
    </cfRule>
  </conditionalFormatting>
  <conditionalFormatting sqref="E180:G180">
    <cfRule type="colorScale" priority="58">
      <colorScale>
        <cfvo type="percent" val="0"/>
        <cfvo type="percentile" val="50"/>
        <cfvo type="percent" val="100"/>
        <color rgb="FFD0EBB3"/>
        <color rgb="FFFFF2B3"/>
        <color rgb="FFFCBABC"/>
      </colorScale>
    </cfRule>
  </conditionalFormatting>
  <conditionalFormatting sqref="E187:G187">
    <cfRule type="colorScale" priority="57">
      <colorScale>
        <cfvo type="percent" val="0"/>
        <cfvo type="percentile" val="50"/>
        <cfvo type="percent" val="100"/>
        <color rgb="FFD0EBB3"/>
        <color rgb="FFFFF2B3"/>
        <color rgb="FFFCBABC"/>
      </colorScale>
    </cfRule>
  </conditionalFormatting>
  <conditionalFormatting sqref="E188:G188">
    <cfRule type="colorScale" priority="56">
      <colorScale>
        <cfvo type="percent" val="0"/>
        <cfvo type="percentile" val="50"/>
        <cfvo type="percent" val="100"/>
        <color rgb="FFD0EBB3"/>
        <color rgb="FFFFF2B3"/>
        <color rgb="FFFCBABC"/>
      </colorScale>
    </cfRule>
  </conditionalFormatting>
  <conditionalFormatting sqref="E208:G208">
    <cfRule type="colorScale" priority="14">
      <colorScale>
        <cfvo type="percent" val="0"/>
        <cfvo type="percentile" val="50"/>
        <cfvo type="percent" val="100"/>
        <color rgb="FFD0EBB3"/>
        <color rgb="FFFFF2B3"/>
        <color rgb="FFFCBABC"/>
      </colorScale>
    </cfRule>
  </conditionalFormatting>
  <conditionalFormatting sqref="E209:G209">
    <cfRule type="colorScale" priority="13">
      <colorScale>
        <cfvo type="percent" val="0"/>
        <cfvo type="percentile" val="50"/>
        <cfvo type="percent" val="100"/>
        <color rgb="FFD0EBB3"/>
        <color rgb="FFFFF2B3"/>
        <color rgb="FFFCBABC"/>
      </colorScale>
    </cfRule>
  </conditionalFormatting>
  <conditionalFormatting sqref="E210:G210">
    <cfRule type="colorScale" priority="12">
      <colorScale>
        <cfvo type="percent" val="0"/>
        <cfvo type="percentile" val="50"/>
        <cfvo type="percent" val="100"/>
        <color rgb="FFD0EBB3"/>
        <color rgb="FFFFF2B3"/>
        <color rgb="FFFCBABC"/>
      </colorScale>
    </cfRule>
  </conditionalFormatting>
  <conditionalFormatting sqref="E211:G211">
    <cfRule type="colorScale" priority="11">
      <colorScale>
        <cfvo type="percent" val="0"/>
        <cfvo type="percentile" val="50"/>
        <cfvo type="percent" val="100"/>
        <color rgb="FFD0EBB3"/>
        <color rgb="FFFFF2B3"/>
        <color rgb="FFFCBABC"/>
      </colorScale>
    </cfRule>
  </conditionalFormatting>
  <conditionalFormatting sqref="E212:G212">
    <cfRule type="colorScale" priority="10">
      <colorScale>
        <cfvo type="percent" val="0"/>
        <cfvo type="percentile" val="50"/>
        <cfvo type="percent" val="100"/>
        <color rgb="FFD0EBB3"/>
        <color rgb="FFFFF2B3"/>
        <color rgb="FFFCBABC"/>
      </colorScale>
    </cfRule>
  </conditionalFormatting>
  <conditionalFormatting sqref="E213:G213">
    <cfRule type="colorScale" priority="9">
      <colorScale>
        <cfvo type="percent" val="0"/>
        <cfvo type="percentile" val="50"/>
        <cfvo type="percent" val="100"/>
        <color rgb="FFD0EBB3"/>
        <color rgb="FFFFF2B3"/>
        <color rgb="FFFCBABC"/>
      </colorScale>
    </cfRule>
  </conditionalFormatting>
  <conditionalFormatting sqref="E214:G214">
    <cfRule type="colorScale" priority="8">
      <colorScale>
        <cfvo type="percent" val="0"/>
        <cfvo type="percentile" val="50"/>
        <cfvo type="percent" val="100"/>
        <color rgb="FFD0EBB3"/>
        <color rgb="FFFFF2B3"/>
        <color rgb="FFFCBABC"/>
      </colorScale>
    </cfRule>
  </conditionalFormatting>
  <conditionalFormatting sqref="E215:G215">
    <cfRule type="colorScale" priority="7">
      <colorScale>
        <cfvo type="percent" val="0"/>
        <cfvo type="percentile" val="50"/>
        <cfvo type="percent" val="100"/>
        <color rgb="FFD0EBB3"/>
        <color rgb="FFFFF2B3"/>
        <color rgb="FFFCBABC"/>
      </colorScale>
    </cfRule>
  </conditionalFormatting>
  <conditionalFormatting sqref="E216:G216">
    <cfRule type="colorScale" priority="6">
      <colorScale>
        <cfvo type="percent" val="0"/>
        <cfvo type="percentile" val="50"/>
        <cfvo type="percent" val="100"/>
        <color rgb="FFD0EBB3"/>
        <color rgb="FFFFF2B3"/>
        <color rgb="FFFCBABC"/>
      </colorScale>
    </cfRule>
  </conditionalFormatting>
  <conditionalFormatting sqref="E217:G217">
    <cfRule type="colorScale" priority="5">
      <colorScale>
        <cfvo type="percent" val="0"/>
        <cfvo type="percentile" val="50"/>
        <cfvo type="percent" val="100"/>
        <color rgb="FFD0EBB3"/>
        <color rgb="FFFFF2B3"/>
        <color rgb="FFFCBABC"/>
      </colorScale>
    </cfRule>
  </conditionalFormatting>
  <conditionalFormatting sqref="E218:G218">
    <cfRule type="colorScale" priority="4">
      <colorScale>
        <cfvo type="percent" val="0"/>
        <cfvo type="percentile" val="50"/>
        <cfvo type="percent" val="100"/>
        <color rgb="FFD0EBB3"/>
        <color rgb="FFFFF2B3"/>
        <color rgb="FFFCBABC"/>
      </colorScale>
    </cfRule>
  </conditionalFormatting>
  <conditionalFormatting sqref="E219:G219">
    <cfRule type="colorScale" priority="3">
      <colorScale>
        <cfvo type="percent" val="0"/>
        <cfvo type="percentile" val="50"/>
        <cfvo type="percent" val="100"/>
        <color rgb="FFD0EBB3"/>
        <color rgb="FFFFF2B3"/>
        <color rgb="FFFCBABC"/>
      </colorScale>
    </cfRule>
  </conditionalFormatting>
  <conditionalFormatting sqref="E220:G220">
    <cfRule type="colorScale" priority="2">
      <colorScale>
        <cfvo type="percent" val="0"/>
        <cfvo type="percentile" val="50"/>
        <cfvo type="percent" val="100"/>
        <color rgb="FFD0EBB3"/>
        <color rgb="FFFFF2B3"/>
        <color rgb="FFFCBABC"/>
      </colorScale>
    </cfRule>
  </conditionalFormatting>
  <conditionalFormatting sqref="E221:G221">
    <cfRule type="colorScale" priority="1">
      <colorScale>
        <cfvo type="percent" val="0"/>
        <cfvo type="percentile" val="50"/>
        <cfvo type="percent" val="100"/>
        <color rgb="FFD0EBB3"/>
        <color rgb="FFFFF2B3"/>
        <color rgb="FFFCBABC"/>
      </colorScale>
    </cfRule>
  </conditionalFormatting>
  <conditionalFormatting sqref="E228:G228">
    <cfRule type="colorScale" priority="55">
      <colorScale>
        <cfvo type="percent" val="0"/>
        <cfvo type="percentile" val="50"/>
        <cfvo type="percent" val="100"/>
        <color rgb="FFD0EBB3"/>
        <color rgb="FFFFF2B3"/>
        <color rgb="FFFCBABC"/>
      </colorScale>
    </cfRule>
  </conditionalFormatting>
  <conditionalFormatting sqref="E229:G229">
    <cfRule type="colorScale" priority="54">
      <colorScale>
        <cfvo type="percent" val="0"/>
        <cfvo type="percentile" val="50"/>
        <cfvo type="percent" val="100"/>
        <color rgb="FFD0EBB3"/>
        <color rgb="FFFFF2B3"/>
        <color rgb="FFFCBABC"/>
      </colorScale>
    </cfRule>
  </conditionalFormatting>
  <conditionalFormatting sqref="E230:G230">
    <cfRule type="colorScale" priority="53">
      <colorScale>
        <cfvo type="percent" val="0"/>
        <cfvo type="percentile" val="50"/>
        <cfvo type="percent" val="100"/>
        <color rgb="FFD0EBB3"/>
        <color rgb="FFFFF2B3"/>
        <color rgb="FFFCBABC"/>
      </colorScale>
    </cfRule>
  </conditionalFormatting>
  <conditionalFormatting sqref="E231:G231">
    <cfRule type="colorScale" priority="52">
      <colorScale>
        <cfvo type="percent" val="0"/>
        <cfvo type="percentile" val="50"/>
        <cfvo type="percent" val="100"/>
        <color rgb="FFD0EBB3"/>
        <color rgb="FFFFF2B3"/>
        <color rgb="FFFCBABC"/>
      </colorScale>
    </cfRule>
  </conditionalFormatting>
  <conditionalFormatting sqref="E238:G238">
    <cfRule type="colorScale" priority="51">
      <colorScale>
        <cfvo type="percent" val="0"/>
        <cfvo type="percentile" val="50"/>
        <cfvo type="percent" val="100"/>
        <color rgb="FFD0EBB3"/>
        <color rgb="FFFFF2B3"/>
        <color rgb="FFFCBABC"/>
      </colorScale>
    </cfRule>
  </conditionalFormatting>
  <conditionalFormatting sqref="E239:G239">
    <cfRule type="colorScale" priority="50">
      <colorScale>
        <cfvo type="percent" val="0"/>
        <cfvo type="percentile" val="50"/>
        <cfvo type="percent" val="100"/>
        <color rgb="FFD0EBB3"/>
        <color rgb="FFFFF2B3"/>
        <color rgb="FFFCBABC"/>
      </colorScale>
    </cfRule>
  </conditionalFormatting>
  <conditionalFormatting sqref="E240:G240">
    <cfRule type="colorScale" priority="49">
      <colorScale>
        <cfvo type="percent" val="0"/>
        <cfvo type="percentile" val="50"/>
        <cfvo type="percent" val="100"/>
        <color rgb="FFD0EBB3"/>
        <color rgb="FFFFF2B3"/>
        <color rgb="FFFCBABC"/>
      </colorScale>
    </cfRule>
  </conditionalFormatting>
  <conditionalFormatting sqref="E241:G241">
    <cfRule type="colorScale" priority="48">
      <colorScale>
        <cfvo type="percent" val="0"/>
        <cfvo type="percentile" val="50"/>
        <cfvo type="percent" val="100"/>
        <color rgb="FFD0EBB3"/>
        <color rgb="FFFFF2B3"/>
        <color rgb="FFFCBABC"/>
      </colorScale>
    </cfRule>
  </conditionalFormatting>
  <conditionalFormatting sqref="E242:G242">
    <cfRule type="colorScale" priority="47">
      <colorScale>
        <cfvo type="percent" val="0"/>
        <cfvo type="percentile" val="50"/>
        <cfvo type="percent" val="100"/>
        <color rgb="FFD0EBB3"/>
        <color rgb="FFFFF2B3"/>
        <color rgb="FFFCBABC"/>
      </colorScale>
    </cfRule>
  </conditionalFormatting>
  <conditionalFormatting sqref="E243:G243">
    <cfRule type="colorScale" priority="46">
      <colorScale>
        <cfvo type="percent" val="0"/>
        <cfvo type="percentile" val="50"/>
        <cfvo type="percent" val="100"/>
        <color rgb="FFD0EBB3"/>
        <color rgb="FFFFF2B3"/>
        <color rgb="FFFCBABC"/>
      </colorScale>
    </cfRule>
  </conditionalFormatting>
  <conditionalFormatting sqref="E244:G244">
    <cfRule type="colorScale" priority="39">
      <colorScale>
        <cfvo type="percent" val="0"/>
        <cfvo type="percentile" val="50"/>
        <cfvo type="percent" val="100"/>
        <color rgb="FFD0EBB3"/>
        <color rgb="FFFFF2B3"/>
        <color rgb="FFFCBABC"/>
      </colorScale>
    </cfRule>
  </conditionalFormatting>
  <conditionalFormatting sqref="E245:G245">
    <cfRule type="colorScale" priority="44">
      <colorScale>
        <cfvo type="percent" val="0"/>
        <cfvo type="percentile" val="50"/>
        <cfvo type="percent" val="100"/>
        <color rgb="FFD0EBB3"/>
        <color rgb="FFFFF2B3"/>
        <color rgb="FFFCBABC"/>
      </colorScale>
    </cfRule>
  </conditionalFormatting>
  <conditionalFormatting sqref="E246:G246">
    <cfRule type="colorScale" priority="43">
      <colorScale>
        <cfvo type="percent" val="0"/>
        <cfvo type="percentile" val="50"/>
        <cfvo type="percent" val="100"/>
        <color rgb="FFD0EBB3"/>
        <color rgb="FFFFF2B3"/>
        <color rgb="FFFCBABC"/>
      </colorScale>
    </cfRule>
  </conditionalFormatting>
  <conditionalFormatting sqref="E247:G247">
    <cfRule type="colorScale" priority="42">
      <colorScale>
        <cfvo type="percent" val="0"/>
        <cfvo type="percentile" val="50"/>
        <cfvo type="percent" val="100"/>
        <color rgb="FFD0EBB3"/>
        <color rgb="FFFFF2B3"/>
        <color rgb="FFFCBABC"/>
      </colorScale>
    </cfRule>
  </conditionalFormatting>
  <conditionalFormatting sqref="E248:G248">
    <cfRule type="colorScale" priority="41">
      <colorScale>
        <cfvo type="percent" val="0"/>
        <cfvo type="percentile" val="50"/>
        <cfvo type="percent" val="100"/>
        <color rgb="FFD0EBB3"/>
        <color rgb="FFFFF2B3"/>
        <color rgb="FFFCBABC"/>
      </colorScale>
    </cfRule>
  </conditionalFormatting>
  <conditionalFormatting sqref="E249:G249">
    <cfRule type="colorScale" priority="40">
      <colorScale>
        <cfvo type="percent" val="0"/>
        <cfvo type="percentile" val="50"/>
        <cfvo type="percent" val="100"/>
        <color rgb="FFD0EBB3"/>
        <color rgb="FFFFF2B3"/>
        <color rgb="FFFCBABC"/>
      </colorScale>
    </cfRule>
  </conditionalFormatting>
  <conditionalFormatting sqref="E195:H195">
    <cfRule type="colorScale" priority="38">
      <colorScale>
        <cfvo type="min"/>
        <cfvo type="percentile" val="50"/>
        <cfvo type="max"/>
        <color rgb="FFD0EBB3"/>
        <color rgb="FFFFF2B3"/>
        <color rgb="FFFCBABC"/>
      </colorScale>
    </cfRule>
  </conditionalFormatting>
  <conditionalFormatting sqref="E196:H196">
    <cfRule type="colorScale" priority="20">
      <colorScale>
        <cfvo type="min"/>
        <cfvo type="percentile" val="50"/>
        <cfvo type="max"/>
        <color rgb="FFD0EBB3"/>
        <color rgb="FFFFF2B3"/>
        <color rgb="FFFCBABC"/>
      </colorScale>
    </cfRule>
  </conditionalFormatting>
  <conditionalFormatting sqref="E197:H197">
    <cfRule type="colorScale" priority="19">
      <colorScale>
        <cfvo type="min"/>
        <cfvo type="percentile" val="50"/>
        <cfvo type="max"/>
        <color rgb="FFD0EBB3"/>
        <color rgb="FFFFF2B3"/>
        <color rgb="FFFCBABC"/>
      </colorScale>
    </cfRule>
  </conditionalFormatting>
  <conditionalFormatting sqref="E198:H198">
    <cfRule type="colorScale" priority="18">
      <colorScale>
        <cfvo type="min"/>
        <cfvo type="percentile" val="50"/>
        <cfvo type="max"/>
        <color rgb="FFD0EBB3"/>
        <color rgb="FFFFF2B3"/>
        <color rgb="FFFCBABC"/>
      </colorScale>
    </cfRule>
  </conditionalFormatting>
  <conditionalFormatting sqref="E199:H199">
    <cfRule type="colorScale" priority="17">
      <colorScale>
        <cfvo type="min"/>
        <cfvo type="percentile" val="50"/>
        <cfvo type="max"/>
        <color rgb="FFD0EBB3"/>
        <color rgb="FFFFF2B3"/>
        <color rgb="FFFCBABC"/>
      </colorScale>
    </cfRule>
  </conditionalFormatting>
  <conditionalFormatting sqref="E200:H200">
    <cfRule type="colorScale" priority="16">
      <colorScale>
        <cfvo type="min"/>
        <cfvo type="percentile" val="50"/>
        <cfvo type="max"/>
        <color rgb="FFD0EBB3"/>
        <color rgb="FFFFF2B3"/>
        <color rgb="FFFCBABC"/>
      </colorScale>
    </cfRule>
  </conditionalFormatting>
  <conditionalFormatting sqref="E201:H201">
    <cfRule type="colorScale" priority="15">
      <colorScale>
        <cfvo type="min"/>
        <cfvo type="percentile" val="50"/>
        <cfvo type="max"/>
        <color rgb="FFD0EBB3"/>
        <color rgb="FFFFF2B3"/>
        <color rgb="FFFCBABC"/>
      </colorScale>
    </cfRule>
  </conditionalFormatting>
  <conditionalFormatting sqref="F78">
    <cfRule type="colorScale" priority="24">
      <colorScale>
        <cfvo type="percent" val="0"/>
        <cfvo type="percentile" val="50"/>
        <cfvo type="percent" val="100"/>
        <color rgb="FFD0EBB3"/>
        <color rgb="FFFFF2B3"/>
        <color rgb="FFFCBABC"/>
      </colorScale>
    </cfRule>
  </conditionalFormatting>
  <conditionalFormatting sqref="F85">
    <cfRule type="colorScale" priority="23">
      <colorScale>
        <cfvo type="percent" val="0"/>
        <cfvo type="percentile" val="50"/>
        <cfvo type="percent" val="100"/>
        <color rgb="FFD0EBB3"/>
        <color rgb="FFFFF2B3"/>
        <color rgb="FFFCBABC"/>
      </colorScale>
    </cfRule>
  </conditionalFormatting>
  <conditionalFormatting sqref="G78">
    <cfRule type="colorScale" priority="22">
      <colorScale>
        <cfvo type="percent" val="0"/>
        <cfvo type="percentile" val="50"/>
        <cfvo type="percent" val="100"/>
        <color rgb="FFD0EBB3"/>
        <color rgb="FFFFF2B3"/>
        <color rgb="FFFCBABC"/>
      </colorScale>
    </cfRule>
  </conditionalFormatting>
  <conditionalFormatting sqref="G85">
    <cfRule type="colorScale" priority="21">
      <colorScale>
        <cfvo type="percent" val="0"/>
        <cfvo type="percentile" val="50"/>
        <cfvo type="percent" val="100"/>
        <color rgb="FFD0EBB3"/>
        <color rgb="FFFFF2B3"/>
        <color rgb="FFFCBABC"/>
      </colorScale>
    </cfRule>
  </conditionalFormatting>
  <hyperlinks>
    <hyperlink ref="A300" r:id="rId1" xr:uid="{00000000-0004-0000-0000-000000000000}"/>
    <hyperlink ref="D300" r:id="rId2" xr:uid="{00000000-0004-0000-0000-000001000000}"/>
  </hyperlinks>
  <printOptions horizontalCentered="1"/>
  <pageMargins left="0.08" right="0" top="0.75" bottom="0.92" header="0.03" footer="0.03"/>
  <pageSetup paperSize="9" scale="55" orientation="portrait" r:id="rId3"/>
  <headerFooter>
    <oddHeader>&amp;C&amp;G</oddHeader>
    <oddFooter>&amp;C&amp;G</oddFooter>
  </headerFooter>
  <rowBreaks count="4" manualBreakCount="4">
    <brk id="51" max="7" man="1"/>
    <brk id="88" max="7" man="1"/>
    <brk id="169" max="7" man="1"/>
    <brk id="255" max="10" man="1"/>
  </rowBreaks>
  <legacyDrawingHF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6B7E0C-5DE3-426B-BC90-3110313B8532}">
  <ds:schemaRefs>
    <ds:schemaRef ds:uri="http://www.w3.org/2001/XMLSchema"/>
  </ds:schemaRefs>
</ds:datastoreItem>
</file>

<file path=docMetadata/LabelInfo.xml><?xml version="1.0" encoding="utf-8"?>
<clbl:labelList xmlns:clbl="http://schemas.microsoft.com/office/2020/mipLabelMetadata">
  <clbl:label id="{a59b6cd5-d141-4a33-8bf1-0ca04484304f}"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MTQ-AA01101-ELE-A3</vt:lpstr>
      <vt:lpstr>'MTQ-AA01101-ELE-A3'!Print_Area</vt:lpstr>
      <vt:lpstr>'MTQ-AA01101-ELE-A3'!Print_Titles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21002D_FF_QUOTATION_SIENENS_KKI GRID_500KV AREA_LOCAL_r8.xls</dc:title>
  <dc:creator>suhail.ehtisham</dc:creator>
  <cp:lastModifiedBy>Engr. Muhammad Huzefa</cp:lastModifiedBy>
  <cp:lastPrinted>2025-11-11T05:32:32Z</cp:lastPrinted>
  <dcterms:created xsi:type="dcterms:W3CDTF">2021-12-06T11:41:35Z</dcterms:created>
  <dcterms:modified xsi:type="dcterms:W3CDTF">2025-11-11T06:35:33Z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9b6cd5-d141-4a33-8bf1-0ca04484304f_Enabled">
    <vt:lpwstr>true</vt:lpwstr>
  </property>
  <property fmtid="{D5CDD505-2E9C-101B-9397-08002B2CF9AE}" pid="3" name="MSIP_Label_a59b6cd5-d141-4a33-8bf1-0ca04484304f_SetDate">
    <vt:lpwstr>2021-12-06T12:19:38Z</vt:lpwstr>
  </property>
  <property fmtid="{D5CDD505-2E9C-101B-9397-08002B2CF9AE}" pid="4" name="MSIP_Label_a59b6cd5-d141-4a33-8bf1-0ca04484304f_Method">
    <vt:lpwstr>Standard</vt:lpwstr>
  </property>
  <property fmtid="{D5CDD505-2E9C-101B-9397-08002B2CF9AE}" pid="5" name="MSIP_Label_a59b6cd5-d141-4a33-8bf1-0ca04484304f_Name">
    <vt:lpwstr>restricted-default</vt:lpwstr>
  </property>
  <property fmtid="{D5CDD505-2E9C-101B-9397-08002B2CF9AE}" pid="6" name="MSIP_Label_a59b6cd5-d141-4a33-8bf1-0ca04484304f_SiteId">
    <vt:lpwstr>38ae3bcd-9579-4fd4-adda-b42e1495d55a</vt:lpwstr>
  </property>
  <property fmtid="{D5CDD505-2E9C-101B-9397-08002B2CF9AE}" pid="7" name="MSIP_Label_a59b6cd5-d141-4a33-8bf1-0ca04484304f_ActionId">
    <vt:lpwstr>0ec4733a-4248-46df-a578-9755497a77f2</vt:lpwstr>
  </property>
  <property fmtid="{D5CDD505-2E9C-101B-9397-08002B2CF9AE}" pid="8" name="MSIP_Label_a59b6cd5-d141-4a33-8bf1-0ca04484304f_ContentBits">
    <vt:lpwstr>0</vt:lpwstr>
  </property>
  <property fmtid="{D5CDD505-2E9C-101B-9397-08002B2CF9AE}" pid="9" name="Document_Confidentiality">
    <vt:lpwstr>Restricted</vt:lpwstr>
  </property>
  <property fmtid="{D5CDD505-2E9C-101B-9397-08002B2CF9AE}" pid="10" name="PlanSwiftJobName">
    <vt:lpwstr/>
  </property>
  <property fmtid="{D5CDD505-2E9C-101B-9397-08002B2CF9AE}" pid="11" name="PlanSwiftJobGuid">
    <vt:lpwstr/>
  </property>
  <property fmtid="{D5CDD505-2E9C-101B-9397-08002B2CF9AE}" pid="12" name="LinkedDataId">
    <vt:lpwstr>{9E6B7E0C-5DE3-426B-BC90-3110313B8532}</vt:lpwstr>
  </property>
</Properties>
</file>